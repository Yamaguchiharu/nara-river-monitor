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river-monitor\"/>
    </mc:Choice>
  </mc:AlternateContent>
  <xr:revisionPtr revIDLastSave="0" documentId="13_ncr:1_{71E6B11D-7C02-435F-8C59-1FA8B274041E}" xr6:coauthVersionLast="47" xr6:coauthVersionMax="47" xr10:uidLastSave="{00000000-0000-0000-0000-000000000000}"/>
  <bookViews>
    <workbookView xWindow="-110" yWindow="-110" windowWidth="19420" windowHeight="11500" activeTab="1" xr2:uid="{EC9B290A-547C-42C4-9CD1-474BB88691F8}"/>
  </bookViews>
  <sheets>
    <sheet name="水位観測所" sheetId="1" r:id="rId1"/>
    <sheet name="sui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2" i="2"/>
</calcChain>
</file>

<file path=xl/sharedStrings.xml><?xml version="1.0" encoding="utf-8"?>
<sst xmlns="http://schemas.openxmlformats.org/spreadsheetml/2006/main" count="1722" uniqueCount="552">
  <si>
    <t>管轄者名</t>
    <rPh sb="0" eb="2">
      <t>カンカツ</t>
    </rPh>
    <rPh sb="2" eb="3">
      <t>シャ</t>
    </rPh>
    <rPh sb="3" eb="4">
      <t>メイ</t>
    </rPh>
    <phoneticPr fontId="1"/>
  </si>
  <si>
    <t>河川名</t>
    <rPh sb="0" eb="3">
      <t>カセンメイ</t>
    </rPh>
    <phoneticPr fontId="1"/>
  </si>
  <si>
    <t>所在地</t>
    <rPh sb="0" eb="3">
      <t>ショザイチ</t>
    </rPh>
    <phoneticPr fontId="1"/>
  </si>
  <si>
    <t>警報値</t>
    <rPh sb="0" eb="2">
      <t>ケイホウ</t>
    </rPh>
    <rPh sb="2" eb="3">
      <t>チ</t>
    </rPh>
    <phoneticPr fontId="1"/>
  </si>
  <si>
    <t>水防団待機水位</t>
    <rPh sb="0" eb="3">
      <t>スイボウダン</t>
    </rPh>
    <rPh sb="3" eb="5">
      <t>タイキ</t>
    </rPh>
    <rPh sb="5" eb="7">
      <t>スイイ</t>
    </rPh>
    <phoneticPr fontId="1"/>
  </si>
  <si>
    <t>氾濫注意水位</t>
    <rPh sb="0" eb="6">
      <t>ハンランチュウイスイイ</t>
    </rPh>
    <phoneticPr fontId="1"/>
  </si>
  <si>
    <t>避難判断水位</t>
    <rPh sb="0" eb="2">
      <t>ヒナン</t>
    </rPh>
    <rPh sb="2" eb="4">
      <t>ハンダン</t>
    </rPh>
    <rPh sb="4" eb="6">
      <t>スイイ</t>
    </rPh>
    <phoneticPr fontId="1"/>
  </si>
  <si>
    <t>氾濫危険水位</t>
    <rPh sb="0" eb="4">
      <t>ハンランキケン</t>
    </rPh>
    <rPh sb="4" eb="6">
      <t>スイイ</t>
    </rPh>
    <phoneticPr fontId="1"/>
  </si>
  <si>
    <t>局名</t>
    <rPh sb="0" eb="1">
      <t>キョク</t>
    </rPh>
    <rPh sb="1" eb="2">
      <t>メイ</t>
    </rPh>
    <phoneticPr fontId="1"/>
  </si>
  <si>
    <t>奈良土木事務所</t>
  </si>
  <si>
    <t>佐保川</t>
  </si>
  <si>
    <t>法蓮</t>
  </si>
  <si>
    <t>奈良市北魚屋西町</t>
  </si>
  <si>
    <t>    0.70</t>
  </si>
  <si>
    <t>    1.20</t>
  </si>
  <si>
    <t>    1.60</t>
  </si>
  <si>
    <t>秋篠川</t>
  </si>
  <si>
    <t>秋篠</t>
  </si>
  <si>
    <t>奈良市秋篠町</t>
  </si>
  <si>
    <t>    1.10</t>
  </si>
  <si>
    <t>    2.10</t>
  </si>
  <si>
    <t>    2.20</t>
  </si>
  <si>
    <t>岩井川</t>
  </si>
  <si>
    <t>八条</t>
  </si>
  <si>
    <t>奈良市杏町</t>
  </si>
  <si>
    <t>    2.00</t>
  </si>
  <si>
    <t>    2.70</t>
  </si>
  <si>
    <t>    3.40</t>
  </si>
  <si>
    <t>    4.40</t>
  </si>
  <si>
    <t>能登川</t>
  </si>
  <si>
    <t>南京終</t>
  </si>
  <si>
    <t>奈良市南京終町</t>
  </si>
  <si>
    <t>    0.80</t>
  </si>
  <si>
    <t>    1.40</t>
  </si>
  <si>
    <t>地蔵院川</t>
  </si>
  <si>
    <t>横井</t>
  </si>
  <si>
    <t>奈良市横井</t>
  </si>
  <si>
    <t>    1.30</t>
  </si>
  <si>
    <t>八条（ダ）</t>
  </si>
  <si>
    <t>布目ダム管理所</t>
  </si>
  <si>
    <t>布目川</t>
  </si>
  <si>
    <t>荻</t>
  </si>
  <si>
    <t>奈良市荻町</t>
  </si>
  <si>
    <t>興ヶ原(機構)</t>
  </si>
  <si>
    <t>奈良市興ヶ原町</t>
  </si>
  <si>
    <t>高瀬川</t>
  </si>
  <si>
    <t>横田</t>
  </si>
  <si>
    <t>大和郡山市横田町</t>
  </si>
  <si>
    <t>    1.50</t>
  </si>
  <si>
    <t>布留川</t>
  </si>
  <si>
    <t>天理</t>
  </si>
  <si>
    <t>天理市川原城町</t>
  </si>
  <si>
    <t>    1.00</t>
  </si>
  <si>
    <t>    1.90</t>
  </si>
  <si>
    <t>滝本</t>
  </si>
  <si>
    <t>天理市滝本町</t>
  </si>
  <si>
    <t>高山ダム管理所</t>
  </si>
  <si>
    <t>笠間川</t>
  </si>
  <si>
    <t>山添</t>
  </si>
  <si>
    <t>山辺郡山添村大字岩屋</t>
  </si>
  <si>
    <t>峰寺</t>
  </si>
  <si>
    <t>山辺郡山添村大字峰寺</t>
  </si>
  <si>
    <t>郡山土木事務所</t>
  </si>
  <si>
    <t>富雄川</t>
  </si>
  <si>
    <t>石木</t>
  </si>
  <si>
    <t>奈良市石木町</t>
  </si>
  <si>
    <t>    1.70</t>
  </si>
  <si>
    <t>    1.80</t>
  </si>
  <si>
    <t>下三橋</t>
  </si>
  <si>
    <t>大和郡山市下三橋町</t>
  </si>
  <si>
    <t>大和川河川事務所</t>
  </si>
  <si>
    <t>番条</t>
  </si>
  <si>
    <t>大和郡山市番条町</t>
  </si>
  <si>
    <t>    2.40</t>
  </si>
  <si>
    <t>    3.20</t>
  </si>
  <si>
    <t>大和川</t>
  </si>
  <si>
    <t>板東</t>
  </si>
  <si>
    <t>大和郡山市額田部南町</t>
  </si>
  <si>
    <t>    3.00</t>
  </si>
  <si>
    <t>    3.50</t>
  </si>
  <si>
    <t>    4.10</t>
  </si>
  <si>
    <t>竜田川</t>
  </si>
  <si>
    <t>壱分</t>
  </si>
  <si>
    <t>生駒市壱分町</t>
  </si>
  <si>
    <t>高山</t>
  </si>
  <si>
    <t>生駒市高山町</t>
  </si>
  <si>
    <t>    0.90</t>
  </si>
  <si>
    <t>谷田</t>
  </si>
  <si>
    <t>生駒市谷田町</t>
  </si>
  <si>
    <t>    0.60</t>
  </si>
  <si>
    <t>平群</t>
  </si>
  <si>
    <t>生駒郡平群町吉新1丁目</t>
  </si>
  <si>
    <t>    3.90</t>
  </si>
  <si>
    <t>実盛川</t>
  </si>
  <si>
    <t>立野南</t>
  </si>
  <si>
    <t>生駒郡三郷町立野南</t>
  </si>
  <si>
    <t>王寺</t>
  </si>
  <si>
    <t>生駒郡三郷町勢野東6丁目</t>
  </si>
  <si>
    <t>    4.50</t>
  </si>
  <si>
    <t>高安</t>
  </si>
  <si>
    <t>生駒郡斑鳩町高安西</t>
  </si>
  <si>
    <t>    2.60</t>
  </si>
  <si>
    <t>高田土木事務所</t>
  </si>
  <si>
    <t>高田川</t>
  </si>
  <si>
    <t>磐築橋</t>
  </si>
  <si>
    <t>大和高田市築山</t>
  </si>
  <si>
    <t>葛城川</t>
  </si>
  <si>
    <t>御所</t>
  </si>
  <si>
    <t>御所市旭町</t>
  </si>
  <si>
    <t>    2.30</t>
  </si>
  <si>
    <t>曽我川</t>
  </si>
  <si>
    <t>古瀬</t>
  </si>
  <si>
    <t>御所市古瀬</t>
  </si>
  <si>
    <t>    2.50</t>
  </si>
  <si>
    <t>葛下川</t>
  </si>
  <si>
    <t>上中</t>
  </si>
  <si>
    <t>香芝市高</t>
  </si>
  <si>
    <t>    3.60</t>
  </si>
  <si>
    <t>瓦口</t>
  </si>
  <si>
    <t>香芝市瓦口</t>
  </si>
  <si>
    <t>藤井</t>
  </si>
  <si>
    <t>北葛城郡王寺町藤井</t>
  </si>
  <si>
    <t>    4.00</t>
  </si>
  <si>
    <t>    6.00</t>
  </si>
  <si>
    <t>広瀬</t>
  </si>
  <si>
    <t>北葛城郡広陵町広瀬</t>
  </si>
  <si>
    <t>薬井</t>
  </si>
  <si>
    <t>北葛城郡河合町薬井</t>
  </si>
  <si>
    <t>    3.10</t>
  </si>
  <si>
    <t>河合</t>
  </si>
  <si>
    <t>北葛城郡河合町川合</t>
  </si>
  <si>
    <t>中和土木事務所</t>
  </si>
  <si>
    <t>庵治</t>
  </si>
  <si>
    <t>天理市嘉幡町</t>
  </si>
  <si>
    <t>曲川</t>
  </si>
  <si>
    <t>橿原市曲川町</t>
  </si>
  <si>
    <t>    2.90</t>
  </si>
  <si>
    <t>曽我</t>
  </si>
  <si>
    <t>橿原市曽我町</t>
  </si>
  <si>
    <t>高取川</t>
  </si>
  <si>
    <t>西池尻</t>
  </si>
  <si>
    <t>橿原市西池尻町</t>
  </si>
  <si>
    <t>飛鳥川</t>
  </si>
  <si>
    <t>今井</t>
  </si>
  <si>
    <t>橿原市南八木町</t>
  </si>
  <si>
    <t>    2.80</t>
  </si>
  <si>
    <t>寺川</t>
  </si>
  <si>
    <t>十市</t>
  </si>
  <si>
    <t>橿原市十市町</t>
  </si>
  <si>
    <t>米川</t>
  </si>
  <si>
    <t>新賀</t>
  </si>
  <si>
    <t>橿原市新賀町</t>
  </si>
  <si>
    <t>豊田</t>
  </si>
  <si>
    <t>桜井市大泉</t>
  </si>
  <si>
    <t>黒崎</t>
  </si>
  <si>
    <t>桜井市慈恩寺</t>
  </si>
  <si>
    <t>磐余</t>
  </si>
  <si>
    <t>桜井市桜井</t>
  </si>
  <si>
    <t>    0.50</t>
  </si>
  <si>
    <t>黒崎（ダ）</t>
  </si>
  <si>
    <t>結崎</t>
  </si>
  <si>
    <t>磯城郡川西町結崎</t>
  </si>
  <si>
    <t>    3.80</t>
  </si>
  <si>
    <t>    4.20</t>
  </si>
  <si>
    <t>保田</t>
  </si>
  <si>
    <t>磯城郡川西町保田</t>
  </si>
  <si>
    <t>    5.20</t>
  </si>
  <si>
    <t>東但馬</t>
  </si>
  <si>
    <t>磯城郡三宅町但馬</t>
  </si>
  <si>
    <t>西但馬</t>
  </si>
  <si>
    <t>    5.30</t>
  </si>
  <si>
    <t>秦庄</t>
  </si>
  <si>
    <t>磯城郡田原本町秦庄</t>
  </si>
  <si>
    <t>    3.30</t>
  </si>
  <si>
    <t>車木</t>
  </si>
  <si>
    <t>高市郡高取町車木</t>
  </si>
  <si>
    <t>越</t>
  </si>
  <si>
    <t>高市郡明日香村越</t>
  </si>
  <si>
    <t>飛鳥</t>
  </si>
  <si>
    <t>高市郡明日香村飛鳥</t>
  </si>
  <si>
    <t>宇陀土木事務所</t>
  </si>
  <si>
    <t>宇陀川</t>
  </si>
  <si>
    <t>萩原</t>
  </si>
  <si>
    <t>宇陀市榛原萩原</t>
  </si>
  <si>
    <t>西山</t>
  </si>
  <si>
    <t>宇陀市大宇陀西山</t>
  </si>
  <si>
    <t>芳野川</t>
  </si>
  <si>
    <t>岩崎</t>
  </si>
  <si>
    <t>宇陀市菟田野岩崎</t>
  </si>
  <si>
    <t>室生ダム管理所</t>
  </si>
  <si>
    <t>内牧川</t>
  </si>
  <si>
    <t>桧牧</t>
  </si>
  <si>
    <t>宇陀市榛原桧牧</t>
  </si>
  <si>
    <t>大野寺(機構)</t>
  </si>
  <si>
    <t>宇陀市室生大野</t>
  </si>
  <si>
    <t>榛原</t>
  </si>
  <si>
    <t>宇陀市榛原下井足</t>
  </si>
  <si>
    <t>青蓮寺川</t>
  </si>
  <si>
    <t>曽爾</t>
  </si>
  <si>
    <t>宇陀郡曽爾村今井</t>
  </si>
  <si>
    <t>青蓮寺ダム管理所</t>
  </si>
  <si>
    <t>伊賀見</t>
  </si>
  <si>
    <t>宇陀郡曽爾村伊賀見</t>
  </si>
  <si>
    <t>高見川</t>
  </si>
  <si>
    <t>小川</t>
  </si>
  <si>
    <t>吉野郡東吉野村小川</t>
  </si>
  <si>
    <t>紀の川ダム統合管理事務所</t>
  </si>
  <si>
    <t>高見</t>
  </si>
  <si>
    <t>吉野郡東吉野村小栗栖</t>
  </si>
  <si>
    <t>吉野土木事務所</t>
  </si>
  <si>
    <t>紀の川</t>
  </si>
  <si>
    <t>上市</t>
  </si>
  <si>
    <t>吉野郡吉野町上市</t>
  </si>
  <si>
    <t>    5.40</t>
  </si>
  <si>
    <t>    6.10</t>
  </si>
  <si>
    <t>菜摘</t>
  </si>
  <si>
    <t>吉野郡吉野町菜摘</t>
  </si>
  <si>
    <t>    4.80</t>
  </si>
  <si>
    <t>    6.20</t>
  </si>
  <si>
    <t>    7.20</t>
  </si>
  <si>
    <t>妹背</t>
  </si>
  <si>
    <t>吉野郡吉野町河原屋</t>
  </si>
  <si>
    <t>下渕</t>
  </si>
  <si>
    <t>吉野郡大淀町下渕</t>
  </si>
  <si>
    <t>    4.90</t>
  </si>
  <si>
    <t>    7.40</t>
  </si>
  <si>
    <t>    9.20</t>
  </si>
  <si>
    <t>   10.10</t>
  </si>
  <si>
    <t>秋野川</t>
  </si>
  <si>
    <t>下市</t>
  </si>
  <si>
    <t>吉野郡下市町下市</t>
  </si>
  <si>
    <t>熊野川</t>
  </si>
  <si>
    <t>庵住</t>
  </si>
  <si>
    <t>吉野郡天川村庵住</t>
  </si>
  <si>
    <t>衣引</t>
  </si>
  <si>
    <t>吉野郡川上村衣引</t>
  </si>
  <si>
    <t>    4.30</t>
  </si>
  <si>
    <t>   10.70</t>
  </si>
  <si>
    <t>   11.40</t>
  </si>
  <si>
    <t>衣引(国)</t>
  </si>
  <si>
    <t>吉野郡川上村東川</t>
  </si>
  <si>
    <t>五條土木事務所</t>
  </si>
  <si>
    <t>栄山寺</t>
  </si>
  <si>
    <t>五條市小島町</t>
  </si>
  <si>
    <t>    8.10</t>
  </si>
  <si>
    <t>    8.80</t>
  </si>
  <si>
    <t>丹生川</t>
  </si>
  <si>
    <t>城戸</t>
  </si>
  <si>
    <t>五條市西吉野町城戸</t>
  </si>
  <si>
    <t>    5.50</t>
  </si>
  <si>
    <t>辻堂</t>
  </si>
  <si>
    <t>五條市大塔町大字辻堂</t>
  </si>
  <si>
    <t>和歌山河川国道事務所</t>
  </si>
  <si>
    <t>五條</t>
  </si>
  <si>
    <t>五條市新町</t>
  </si>
  <si>
    <t>    5.00</t>
  </si>
  <si>
    <t>    7.50</t>
  </si>
  <si>
    <t>    7.80</t>
  </si>
  <si>
    <t>貝原</t>
  </si>
  <si>
    <t>吉野郡下市町貝原</t>
  </si>
  <si>
    <t>小井</t>
  </si>
  <si>
    <t>吉野郡十津川村小井</t>
  </si>
  <si>
    <t>野尻</t>
  </si>
  <si>
    <t>吉野郡十津川村野尻</t>
  </si>
  <si>
    <t>上野地</t>
  </si>
  <si>
    <t>吉野郡十津川村上野地</t>
  </si>
  <si>
    <t>コード</t>
    <phoneticPr fontId="1"/>
  </si>
  <si>
    <t>sn</t>
    <phoneticPr fontId="1"/>
  </si>
  <si>
    <t>おおぎ</t>
    <phoneticPr fontId="1"/>
  </si>
  <si>
    <t>ぬのめがわ</t>
    <phoneticPr fontId="1"/>
  </si>
  <si>
    <t>さほがわ</t>
    <phoneticPr fontId="1"/>
  </si>
  <si>
    <t>ほうれん</t>
    <phoneticPr fontId="1"/>
  </si>
  <si>
    <t>あきしのがわ</t>
    <phoneticPr fontId="1"/>
  </si>
  <si>
    <t>あきしの</t>
    <phoneticPr fontId="1"/>
  </si>
  <si>
    <t>いわいがわ</t>
    <phoneticPr fontId="1"/>
  </si>
  <si>
    <t>はちじょう</t>
    <phoneticPr fontId="1"/>
  </si>
  <si>
    <t>のとがわ</t>
    <phoneticPr fontId="1"/>
  </si>
  <si>
    <t>みなみきょうばて</t>
    <phoneticPr fontId="1"/>
  </si>
  <si>
    <t>じぞういんがわ</t>
    <phoneticPr fontId="1"/>
  </si>
  <si>
    <t>よこい</t>
    <phoneticPr fontId="1"/>
  </si>
  <si>
    <t>おくがはら</t>
    <phoneticPr fontId="1"/>
  </si>
  <si>
    <t>たかせがわ</t>
    <phoneticPr fontId="1"/>
  </si>
  <si>
    <t>よこた</t>
    <phoneticPr fontId="1"/>
  </si>
  <si>
    <t>ふるかわ</t>
    <phoneticPr fontId="1"/>
  </si>
  <si>
    <t>てんり</t>
    <phoneticPr fontId="1"/>
  </si>
  <si>
    <t>たきもと</t>
    <phoneticPr fontId="1"/>
  </si>
  <si>
    <t>かさまがわ</t>
    <phoneticPr fontId="1"/>
  </si>
  <si>
    <t>やまぞえ</t>
    <phoneticPr fontId="1"/>
  </si>
  <si>
    <t>みねでら</t>
    <phoneticPr fontId="1"/>
  </si>
  <si>
    <t>とみおがわ</t>
    <phoneticPr fontId="1"/>
  </si>
  <si>
    <t>いしき</t>
    <phoneticPr fontId="1"/>
  </si>
  <si>
    <t>しもみつはし</t>
    <phoneticPr fontId="1"/>
  </si>
  <si>
    <t>ばんじょう</t>
    <phoneticPr fontId="1"/>
  </si>
  <si>
    <t>やまとがわ</t>
    <phoneticPr fontId="1"/>
  </si>
  <si>
    <t>いたひがし</t>
    <phoneticPr fontId="1"/>
  </si>
  <si>
    <t>たつたがわ</t>
    <phoneticPr fontId="1"/>
  </si>
  <si>
    <t>いちぶ</t>
    <phoneticPr fontId="1"/>
  </si>
  <si>
    <t>たかやま</t>
    <phoneticPr fontId="1"/>
  </si>
  <si>
    <t>たにだ</t>
    <phoneticPr fontId="1"/>
  </si>
  <si>
    <t>へぐり</t>
    <phoneticPr fontId="1"/>
  </si>
  <si>
    <t>さねもりがわ</t>
    <phoneticPr fontId="1"/>
  </si>
  <si>
    <t>たつのみなみ</t>
    <phoneticPr fontId="1"/>
  </si>
  <si>
    <t>おうじ</t>
    <phoneticPr fontId="1"/>
  </si>
  <si>
    <t>たかやす</t>
    <phoneticPr fontId="1"/>
  </si>
  <si>
    <t>たかだがわ</t>
    <phoneticPr fontId="1"/>
  </si>
  <si>
    <t>いわつきばし</t>
    <phoneticPr fontId="1"/>
  </si>
  <si>
    <t>かつらぎがわ</t>
    <phoneticPr fontId="1"/>
  </si>
  <si>
    <t>ごせ</t>
    <phoneticPr fontId="1"/>
  </si>
  <si>
    <t>そががわ</t>
    <phoneticPr fontId="1"/>
  </si>
  <si>
    <t>こせ</t>
    <phoneticPr fontId="1"/>
  </si>
  <si>
    <t>かつげがわ</t>
    <phoneticPr fontId="1"/>
  </si>
  <si>
    <t>かみなか</t>
    <phoneticPr fontId="1"/>
  </si>
  <si>
    <t>かわらぐち</t>
    <phoneticPr fontId="1"/>
  </si>
  <si>
    <t>ふじい</t>
    <phoneticPr fontId="1"/>
  </si>
  <si>
    <t>ひろせ</t>
    <phoneticPr fontId="1"/>
  </si>
  <si>
    <t>くすりい</t>
    <phoneticPr fontId="1"/>
  </si>
  <si>
    <t>かわい</t>
    <phoneticPr fontId="1"/>
  </si>
  <si>
    <t>まがりがわ</t>
    <phoneticPr fontId="1"/>
  </si>
  <si>
    <t>そが</t>
    <phoneticPr fontId="1"/>
  </si>
  <si>
    <t>たかとりがわ</t>
    <phoneticPr fontId="1"/>
  </si>
  <si>
    <t>にしいけじり</t>
    <phoneticPr fontId="1"/>
  </si>
  <si>
    <t>あすかがわ</t>
    <phoneticPr fontId="1"/>
  </si>
  <si>
    <t>いまい</t>
    <phoneticPr fontId="1"/>
  </si>
  <si>
    <t>てらがわ</t>
    <phoneticPr fontId="1"/>
  </si>
  <si>
    <t>とおいち</t>
    <phoneticPr fontId="1"/>
  </si>
  <si>
    <t>よねがわ</t>
    <phoneticPr fontId="1"/>
  </si>
  <si>
    <t>しんが</t>
    <phoneticPr fontId="1"/>
  </si>
  <si>
    <t>とよだ</t>
    <phoneticPr fontId="1"/>
  </si>
  <si>
    <t>くろさき</t>
    <phoneticPr fontId="1"/>
  </si>
  <si>
    <t>いわれ</t>
    <phoneticPr fontId="1"/>
  </si>
  <si>
    <t>ゆうざき</t>
    <phoneticPr fontId="1"/>
  </si>
  <si>
    <t>ほた</t>
    <phoneticPr fontId="1"/>
  </si>
  <si>
    <t>ひがしたじま</t>
    <phoneticPr fontId="1"/>
  </si>
  <si>
    <t>にしたじま</t>
    <phoneticPr fontId="1"/>
  </si>
  <si>
    <t>はたのしょう</t>
    <phoneticPr fontId="1"/>
  </si>
  <si>
    <t>くるまき</t>
    <phoneticPr fontId="1"/>
  </si>
  <si>
    <t>こし</t>
    <phoneticPr fontId="1"/>
  </si>
  <si>
    <t>あすか</t>
    <phoneticPr fontId="1"/>
  </si>
  <si>
    <t>うだがわ</t>
    <phoneticPr fontId="1"/>
  </si>
  <si>
    <t>はぎはら</t>
    <phoneticPr fontId="1"/>
  </si>
  <si>
    <t>にしやま</t>
    <phoneticPr fontId="1"/>
  </si>
  <si>
    <t>ほうのがわ</t>
    <phoneticPr fontId="1"/>
  </si>
  <si>
    <t>いわさき</t>
    <phoneticPr fontId="1"/>
  </si>
  <si>
    <t>うちまきがわ</t>
    <phoneticPr fontId="1"/>
  </si>
  <si>
    <t>ひのまき</t>
    <phoneticPr fontId="1"/>
  </si>
  <si>
    <t>おおのじ</t>
    <phoneticPr fontId="1"/>
  </si>
  <si>
    <t>はいばら</t>
    <phoneticPr fontId="1"/>
  </si>
  <si>
    <t>しょうれんじがわ</t>
    <phoneticPr fontId="1"/>
  </si>
  <si>
    <t>そに</t>
    <phoneticPr fontId="1"/>
  </si>
  <si>
    <t>いがみ</t>
    <phoneticPr fontId="1"/>
  </si>
  <si>
    <t>たかみがわ</t>
    <phoneticPr fontId="1"/>
  </si>
  <si>
    <t>おがわ</t>
    <phoneticPr fontId="1"/>
  </si>
  <si>
    <t>たかみ</t>
    <phoneticPr fontId="1"/>
  </si>
  <si>
    <t>きのかわ</t>
    <phoneticPr fontId="1"/>
  </si>
  <si>
    <t>かみいち</t>
    <phoneticPr fontId="1"/>
  </si>
  <si>
    <t>なつみ</t>
    <phoneticPr fontId="1"/>
  </si>
  <si>
    <t>いもせ</t>
    <phoneticPr fontId="1"/>
  </si>
  <si>
    <t>しもぶち</t>
    <phoneticPr fontId="1"/>
  </si>
  <si>
    <t>あきのがわ</t>
    <phoneticPr fontId="1"/>
  </si>
  <si>
    <t>しもいち</t>
    <phoneticPr fontId="1"/>
  </si>
  <si>
    <t>くまのがわ</t>
    <phoneticPr fontId="1"/>
  </si>
  <si>
    <t>いおずみ</t>
    <phoneticPr fontId="1"/>
  </si>
  <si>
    <t>えびき</t>
    <phoneticPr fontId="1"/>
  </si>
  <si>
    <t>えいさんじ</t>
    <phoneticPr fontId="1"/>
  </si>
  <si>
    <t>にうがわ</t>
    <phoneticPr fontId="1"/>
  </si>
  <si>
    <t>じょうど</t>
    <phoneticPr fontId="1"/>
  </si>
  <si>
    <t>つじどう</t>
    <phoneticPr fontId="1"/>
  </si>
  <si>
    <t>ごじょう</t>
    <phoneticPr fontId="1"/>
  </si>
  <si>
    <t>かいばら</t>
    <phoneticPr fontId="1"/>
  </si>
  <si>
    <t>こい</t>
    <phoneticPr fontId="1"/>
  </si>
  <si>
    <t>のじり</t>
    <phoneticPr fontId="1"/>
  </si>
  <si>
    <t>うえのじ</t>
    <phoneticPr fontId="1"/>
  </si>
  <si>
    <t>station_code</t>
    <phoneticPr fontId="1"/>
  </si>
  <si>
    <t>station_name</t>
    <phoneticPr fontId="1"/>
  </si>
  <si>
    <t>river_name</t>
    <phoneticPr fontId="1"/>
  </si>
  <si>
    <t>river_system</t>
    <phoneticPr fontId="1"/>
  </si>
  <si>
    <t>office</t>
    <phoneticPr fontId="1"/>
  </si>
  <si>
    <t>location</t>
    <phoneticPr fontId="1"/>
  </si>
  <si>
    <t>大和川水系</t>
    <rPh sb="0" eb="5">
      <t>ヤマトガワスイケイ</t>
    </rPh>
    <phoneticPr fontId="1"/>
  </si>
  <si>
    <t>淀川水系</t>
    <rPh sb="0" eb="4">
      <t>ヨドガワスイケイ</t>
    </rPh>
    <phoneticPr fontId="1"/>
  </si>
  <si>
    <t>紀の川水系</t>
    <rPh sb="0" eb="1">
      <t>キ</t>
    </rPh>
    <rPh sb="2" eb="5">
      <t>カワスイケイ</t>
    </rPh>
    <phoneticPr fontId="1"/>
  </si>
  <si>
    <t>北葛城郡王寺町藤井</t>
    <phoneticPr fontId="1"/>
  </si>
  <si>
    <t>北葛城郡広陵町広瀬</t>
    <phoneticPr fontId="1"/>
  </si>
  <si>
    <t>latitude</t>
    <phoneticPr fontId="1"/>
  </si>
  <si>
    <t>longitude</t>
    <phoneticPr fontId="1"/>
  </si>
  <si>
    <t>https://www.river.go.jp/kawabou/pc/tm?zm=12&amp;clat=34.68460486483024&amp;clon=135.80818176269534&amp;fld=0&amp;mapType=0&amp;viewGrpStg=0&amp;viewRd=1&amp;viewRW=1&amp;viewRl=1&amp;viewRn=1&amp;viewPoint=1&amp;ext=0&amp;ofcCd=7425&amp;itmkndCd=4&amp;obsCd=135</t>
    <phoneticPr fontId="1"/>
  </si>
  <si>
    <t>https://www.river.go.jp/kawabou/pc/tm?zm=12&amp;clat=34.68460486483024&amp;clon=135.80818176269534&amp;fld=0&amp;mapType=0&amp;viewGrpStg=0&amp;viewRd=1&amp;viewRW=1&amp;viewRl=1&amp;viewRn=1&amp;viewPoint=1&amp;ext=0&amp;ofcCd=7425&amp;itmkndCd=4&amp;obsCd=101</t>
    <phoneticPr fontId="1"/>
  </si>
  <si>
    <t>https://www.river.go.jp/kawabou/pc/tm?zm=12&amp;clat=34.689221&amp;clon=135.82755&amp;fld=0&amp;mapType=0&amp;viewGrpStg=0&amp;viewRd=1&amp;viewRW=1&amp;viewRl=1&amp;viewRn=1&amp;viewPoint=1&amp;ext=0&amp;ofcCd=7425&amp;itmkndCd=4&amp;obsCd=102</t>
    <phoneticPr fontId="1"/>
  </si>
  <si>
    <t>https://www.river.go.jp/kawabou/pc/tm?zm=12&amp;clat=34.64055228473684&amp;clon=135.81024169921878&amp;fld=0&amp;mapType=0&amp;viewGrpStg=0&amp;viewRd=1&amp;viewRW=1&amp;viewRl=1&amp;viewRn=1&amp;viewPoint=1&amp;ext=0&amp;ofcCd=7425&amp;itmkndCd=4&amp;obsCd=132</t>
    <phoneticPr fontId="1"/>
  </si>
  <si>
    <t>https://www.river.go.jp/kawabou/pc/tm?zm=12&amp;clat=34.64055228473684&amp;clon=135.81024169921878&amp;fld=0&amp;mapType=0&amp;viewGrpStg=0&amp;viewRd=1&amp;viewRW=1&amp;viewRl=1&amp;viewRn=1&amp;viewPoint=1&amp;ext=0&amp;ofcCd=7425&amp;itmkndCd=4&amp;obsCd=134</t>
    <phoneticPr fontId="1"/>
  </si>
  <si>
    <t>https://www.river.go.jp/kawabou/pc/tm?zm=12&amp;clat=34.64055228473684&amp;clon=135.81024169921878&amp;fld=0&amp;mapType=0&amp;viewGrpStg=0&amp;viewRd=1&amp;viewRW=1&amp;viewRl=1&amp;viewRn=1&amp;viewPoint=1&amp;ext=0&amp;ofcCd=7425&amp;itmkndCd=4&amp;obsCd=143</t>
    <phoneticPr fontId="1"/>
  </si>
  <si>
    <t>https://www.river.go.jp/kawabou/pc/tm?zm=12&amp;clat=34.64563646992299&amp;clon=135.91495513916018&amp;fld=0&amp;mapType=0&amp;viewGrpStg=0&amp;viewRd=1&amp;viewRW=1&amp;viewRl=1&amp;viewRn=1&amp;viewPoint=1&amp;ext=0&amp;ofcCd=22067&amp;itmkndCd=4&amp;obsCd=10</t>
    <phoneticPr fontId="1"/>
  </si>
  <si>
    <t>https://www.river.go.jp/kawabou/pc/tm?zm=12&amp;clat=34.64563646992299&amp;clon=135.91495513916018&amp;fld=0&amp;mapType=0&amp;viewGrpStg=0&amp;viewRd=1&amp;viewRW=1&amp;viewRl=1&amp;viewRn=1&amp;viewPoint=1&amp;ext=0&amp;ofcCd=22067&amp;itmkndCd=4&amp;obsCd=12</t>
    <phoneticPr fontId="1"/>
  </si>
  <si>
    <t>https://www.river.go.jp/kawabou/pc/tm?zm=12&amp;clat=34.64563646992299&amp;clon=135.91495513916018&amp;fld=0&amp;mapType=0&amp;viewGrpStg=0&amp;viewRd=1&amp;viewRW=1&amp;viewRl=1&amp;viewRn=1&amp;viewPoint=1&amp;ext=0&amp;ofcCd=7425&amp;itmkndCd=4&amp;obsCd=130</t>
    <phoneticPr fontId="1"/>
  </si>
  <si>
    <t>https://www.river.go.jp/kawabou/pc/tm?zm=12&amp;clat=34.64563646992299&amp;clon=135.91495513916018&amp;fld=0&amp;mapType=0&amp;viewGrpStg=0&amp;viewRd=1&amp;viewRW=1&amp;viewRl=1&amp;viewRn=1&amp;viewPoint=1&amp;ext=0&amp;ofcCd=7425&amp;itmkndCd=4&amp;obsCd=127</t>
    <phoneticPr fontId="1"/>
  </si>
  <si>
    <t>https://www.river.go.jp/kawabou/pc/tm?zm=12&amp;clat=34.584323024647524&amp;clon=135.88989257812503&amp;fld=0&amp;mapType=0&amp;viewGrpStg=0&amp;viewRd=1&amp;viewRW=1&amp;viewRl=1&amp;viewRn=1&amp;viewPoint=1&amp;ext=0&amp;ofcCd=7425&amp;itmkndCd=4&amp;obsCd=128</t>
    <phoneticPr fontId="1"/>
  </si>
  <si>
    <t>https://www.river.go.jp/kawabou/pc/tm?zm=12&amp;clat=34.650437914135566&amp;clon=135.97984313964847&amp;fld=0&amp;mapType=0&amp;viewGrpStg=0&amp;viewRd=1&amp;viewRW=1&amp;viewRl=1&amp;viewRn=1&amp;viewPoint=1&amp;ext=0&amp;ofcCd=22067&amp;itmkndCd=4&amp;obsCd=6</t>
    <phoneticPr fontId="1"/>
  </si>
  <si>
    <t>https://www.river.go.jp/kawabou/pc/tm?zm=12&amp;clat=34.650437914135566&amp;clon=135.97984313964847&amp;fld=0&amp;mapType=0&amp;viewGrpStg=0&amp;viewRd=1&amp;viewRW=1&amp;viewRl=1&amp;viewRn=1&amp;viewPoint=1&amp;ext=0&amp;ofcCd=22067&amp;itmkndCd=4&amp;obsCd=11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</si>
  <si>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https://www.river.go.jp/kawabou/pc/tm?zm=12&amp;clat=34.66116954859759&amp;clon=135.75222015380862&amp;fld=0&amp;mapType=0&amp;viewGrpStg=0&amp;viewRd=1&amp;viewRW=1&amp;viewRl=1&amp;viewRn=1&amp;viewPoint=1&amp;ext=0&amp;ofcCd=7425&amp;itmkndCd=4&amp;obsCd=105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</si>
  <si>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https://www.river.go.jp/kawabou/pc/tm?zm=12&amp;clat=34.66116954859759&amp;clon=135.75222015380862&amp;fld=0&amp;mapType=0&amp;viewGrpStg=0&amp;viewRd=1&amp;viewRW=1&amp;viewRl=1&amp;viewRn=1&amp;viewPoint=1&amp;ext=0&amp;ofcCd=22069&amp;itmkndCd=4&amp;obsCd=1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</si>
  <si>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https://www.river.go.jp/kawabou/pc/tm?zm=12&amp;clat=34.66116954859759&amp;clon=135.75222015380862&amp;fld=0&amp;mapType=0&amp;viewGrpStg=0&amp;viewRd=1&amp;viewRW=1&amp;viewRl=1&amp;viewRn=1&amp;viewPoint=1&amp;ext=0&amp;ofcCd=22069&amp;itmkndCd=4&amp;obsCd=2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</si>
  <si>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https://www.river.go.jp/kawabou/pc/tm?zm=12&amp;clat=34.66116954859759&amp;clon=135.75222015380862&amp;fld=0&amp;mapType=0&amp;viewGrpStg=0&amp;viewRd=1&amp;viewRW=1&amp;viewRl=1&amp;viewRn=1&amp;viewPoint=1&amp;ext=0&amp;ofcCd=7425&amp;itmkndCd=4&amp;obsCd=103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</si>
  <si>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https://www.river.go.jp/kawabou/pc/tm?zm=12&amp;clat=34.66116954859759&amp;clon=135.75222015380862&amp;fld=0&amp;mapType=0&amp;viewGrpStg=0&amp;viewRd=1&amp;viewRW=1&amp;viewRl=1&amp;viewRn=1&amp;viewPoint=1&amp;ext=0&amp;ofcCd=7425&amp;itmkndCd=4&amp;obsCd=106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</si>
  <si>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https://www.river.go.jp/kawabou/pc/tm?zm=12&amp;clat=34.66116954859759&amp;clon=135.75222015380862&amp;fld=0&amp;mapType=0&amp;viewGrpStg=0&amp;viewRd=1&amp;viewRW=1&amp;viewRl=1&amp;viewRn=1&amp;viewPoint=1&amp;ext=0&amp;ofcCd=7425&amp;itmkndCd=4&amp;obsCd=144</t>
    <phoneticPr fontId="1"/>
  </si>
  <si>
    <t>https://www.river.go.jp/kawabou/pc/tm?zm=12&amp;clat=34.66116954859759&amp;clon=135.75222015380862&amp;fld=0&amp;mapType=0&amp;viewGrpStg=0&amp;viewRd=1&amp;viewRW=1&amp;viewRl=1&amp;viewRn=1&amp;viewPoint=1&amp;ext=0&amp;ofcCd=7425&amp;itmkndCd=4&amp;obsCd=104</t>
    <phoneticPr fontId="1"/>
  </si>
  <si>
    <t>https://www.river.go.jp/kawabou/pc/tm?zm=12&amp;clat=34.60241096129153&amp;clon=135.76938629150393&amp;fld=0&amp;mapType=0&amp;viewGrpStg=0&amp;viewRd=1&amp;viewRW=1&amp;viewRl=1&amp;viewRn=1&amp;viewPoint=1&amp;ext=0&amp;ofcCd=7425&amp;itmkndCd=4&amp;obsCd=137</t>
    <phoneticPr fontId="1"/>
  </si>
  <si>
    <t>https://www.river.go.jp/kawabou/pc/tm?zm=12&amp;clat=34.60241096129153&amp;clon=135.76938629150393&amp;fld=0&amp;mapType=0&amp;viewGrpStg=0&amp;viewRd=1&amp;viewRW=1&amp;viewRl=1&amp;viewRn=1&amp;viewPoint=1&amp;ext=0&amp;ofcCd=22069&amp;itmkndCd=4&amp;obsCd=5</t>
    <phoneticPr fontId="1"/>
  </si>
  <si>
    <t>https://www.river.go.jp/kawabou/pc/tm?zm=12&amp;clat=34.60241096129153&amp;clon=135.76938629150393&amp;fld=0&amp;mapType=0&amp;viewGrpStg=0&amp;viewRd=1&amp;viewRW=1&amp;viewRl=1&amp;viewRn=1&amp;viewPoint=1&amp;ext=0&amp;ofcCd=7425&amp;itmkndCd=4&amp;obsCd=138</t>
    <phoneticPr fontId="1"/>
  </si>
  <si>
    <t>https://www.river.go.jp/kawabou/pc/tm?zm=12&amp;clat=34.60241096129153&amp;clon=135.76938629150393&amp;fld=0&amp;mapType=0&amp;viewGrpStg=0&amp;viewRd=1&amp;viewRW=1&amp;viewRl=1&amp;viewRn=1&amp;viewPoint=1&amp;ext=0&amp;ofcCd=7425&amp;itmkndCd=4&amp;obsCd=107</t>
    <phoneticPr fontId="1"/>
  </si>
  <si>
    <t>https://www.river.go.jp/kawabou/pc/tm?zm=12&amp;clat=34.56934097133008&amp;clon=135.76423645019534&amp;fld=0&amp;mapType=0&amp;viewGrpStg=0&amp;viewRd=1&amp;viewRW=1&amp;viewRl=1&amp;viewRn=1&amp;viewPoint=1&amp;ext=0&amp;ofcCd=7425&amp;itmkndCd=4&amp;obsCd=145</t>
    <phoneticPr fontId="1"/>
  </si>
  <si>
    <t>https://www.river.go.jp/kawabou/pc/tm?zm=12&amp;clat=34.496087960638086&amp;clon=135.76423645019534&amp;fld=0&amp;mapType=0&amp;viewGrpStg=0&amp;viewRd=1&amp;viewRW=1&amp;viewRl=1&amp;viewRn=1&amp;viewPoint=1&amp;ext=0&amp;ofcCd=7425&amp;itmkndCd=4&amp;obsCd=146</t>
    <phoneticPr fontId="1"/>
  </si>
  <si>
    <t>https://www.river.go.jp/kawabou/pc/tm?zm=12&amp;clat=34.496087960638086&amp;clon=135.76423645019534&amp;fld=0&amp;mapType=0&amp;viewGrpStg=0&amp;viewRd=1&amp;viewRW=1&amp;viewRl=1&amp;viewRn=1&amp;viewPoint=1&amp;ext=0&amp;ofcCd=7425&amp;itmkndCd=4&amp;obsCd=108</t>
    <phoneticPr fontId="1"/>
  </si>
  <si>
    <t>https://www.river.go.jp/kawabou/pc/tm?zm=12&amp;clat=34.496087960638086&amp;clon=135.76423645019534&amp;fld=0&amp;mapType=0&amp;viewGrpStg=0&amp;viewRd=1&amp;viewRW=1&amp;viewRl=1&amp;viewRn=1&amp;viewPoint=1&amp;ext=0&amp;ofcCd=7425&amp;itmkndCd=4&amp;obsCd=147</t>
    <phoneticPr fontId="1"/>
  </si>
  <si>
    <t>https://www.river.go.jp/kawabou/pc/tm?zm=12&amp;clat=34.5639693890783&amp;clon=135.78071594238284&amp;fld=0&amp;mapType=0&amp;viewGrpStg=0&amp;viewRd=1&amp;viewRW=1&amp;viewRl=1&amp;viewRn=1&amp;viewPoint=1&amp;ext=0&amp;ofcCd=22069&amp;itmkndCd=4&amp;obsCd=6</t>
    <phoneticPr fontId="1"/>
  </si>
  <si>
    <t>https://www.river.go.jp/kawabou/pc/tm?zm=12&amp;clat=34.5639693890783&amp;clon=135.78071594238284&amp;fld=0&amp;mapType=0&amp;viewGrpStg=0&amp;viewRd=1&amp;viewRW=1&amp;viewRl=1&amp;viewRn=1&amp;viewPoint=1&amp;ext=0&amp;ofcCd=7425&amp;itmkndCd=4&amp;obsCd=109</t>
    <phoneticPr fontId="1"/>
  </si>
  <si>
    <t>https://www.river.go.jp/kawabou/pc/tm?zm=12&amp;clat=34.5639693890783&amp;clon=135.78071594238284&amp;fld=0&amp;mapType=0&amp;viewGrpStg=0&amp;viewRd=1&amp;viewRW=1&amp;viewRl=1&amp;viewRn=1&amp;viewPoint=1&amp;ext=0&amp;ofcCd=7425&amp;itmkndCd=4&amp;obsCd=148</t>
    <phoneticPr fontId="1"/>
  </si>
  <si>
    <t>https://www.river.go.jp/kawabou/pc/tm?zm=12&amp;clat=34.557466483188996&amp;clon=135.76560974121097&amp;fld=0&amp;mapType=0&amp;viewGrpStg=0&amp;viewRd=1&amp;viewRW=1&amp;viewRl=1&amp;viewRn=1&amp;viewPoint=1&amp;ext=0&amp;ofcCd=7425&amp;itmkndCd=4&amp;obsCd=148</t>
    <phoneticPr fontId="1"/>
  </si>
  <si>
    <t>https://www.river.go.jp/kawabou/pc/tm?zm=12&amp;clat=34.557466483188996&amp;clon=135.76560974121097&amp;fld=0&amp;mapType=0&amp;viewGrpStg=0&amp;viewRd=1&amp;viewRW=1&amp;viewRl=1&amp;viewRn=1&amp;viewPoint=1&amp;ext=0&amp;ofcCd=7425&amp;itmkndCd=4&amp;obsCd=117</t>
    <phoneticPr fontId="1"/>
  </si>
  <si>
    <t>https://www.river.go.jp/kawabou/pc/tm?zm=12&amp;clat=34.557466483188996&amp;clon=135.76560974121097&amp;fld=0&amp;mapType=0&amp;viewGrpStg=0&amp;viewRd=1&amp;viewRW=1&amp;viewRl=1&amp;viewRn=1&amp;viewPoint=1&amp;ext=0&amp;ofcCd=7425&amp;itmkndCd=4&amp;obsCd=110</t>
    <phoneticPr fontId="1"/>
  </si>
  <si>
    <t>https://www.river.go.jp/kawabou/pc/tm?zm=12&amp;clat=34.557466483188996&amp;clon=135.76560974121097&amp;fld=0&amp;mapType=0&amp;viewGrpStg=0&amp;viewRd=1&amp;viewRW=1&amp;viewRl=1&amp;viewRn=1&amp;viewPoint=1&amp;ext=0&amp;ofcCd=7425&amp;itmkndCd=4&amp;obsCd=111</t>
    <phoneticPr fontId="1"/>
  </si>
  <si>
    <t>https://www.river.go.jp/kawabou/pc/tm?zm=12&amp;clat=34.51702396789498&amp;clon=135.77762603759768&amp;fld=0&amp;mapType=0&amp;viewGrpStg=0&amp;viewRd=1&amp;viewRW=1&amp;viewRl=1&amp;viewRn=1&amp;viewPoint=1&amp;ext=0&amp;ofcCd=7425&amp;itmkndCd=4&amp;obsCd=113</t>
    <phoneticPr fontId="1"/>
  </si>
  <si>
    <t>https://www.river.go.jp/kawabou/pc/tm?zm=12&amp;clat=34.51702396789498&amp;clon=135.77762603759768&amp;fld=0&amp;mapType=0&amp;viewGrpStg=0&amp;viewRd=1&amp;viewRW=1&amp;viewRl=1&amp;viewRn=1&amp;viewPoint=1&amp;ext=0&amp;ofcCd=7425&amp;itmkndCd=4&amp;obsCd=114</t>
    <phoneticPr fontId="1"/>
  </si>
  <si>
    <t>https://www.river.go.jp/kawabou/pc/tm?zm=12&amp;clat=34.51702396789498&amp;clon=135.77762603759768&amp;fld=0&amp;mapType=0&amp;viewGrpStg=0&amp;viewRd=1&amp;viewRW=1&amp;viewRl=1&amp;viewRn=1&amp;viewPoint=1&amp;ext=0&amp;ofcCd=7425&amp;itmkndCd=4&amp;obsCd=116</t>
    <phoneticPr fontId="1"/>
  </si>
  <si>
    <t>https://www.river.go.jp/kawabou/pc/tm?zm=12&amp;clat=34.53965157244904&amp;clon=135.794792175293&amp;fld=0&amp;mapType=0&amp;viewGrpStg=0&amp;viewRd=1&amp;viewRW=1&amp;viewRl=1&amp;viewRn=1&amp;viewPoint=1&amp;ext=0&amp;ofcCd=7425&amp;itmkndCd=4&amp;obsCd=136</t>
    <phoneticPr fontId="1"/>
  </si>
  <si>
    <t>https://www.river.go.jp/kawabou/pc/tm?zm=12&amp;clat=34.53965157244904&amp;clon=135.794792175293&amp;fld=0&amp;mapType=0&amp;viewGrpStg=0&amp;viewRd=1&amp;viewRW=1&amp;viewRl=1&amp;viewRn=1&amp;viewPoint=1&amp;ext=0&amp;ofcCd=7425&amp;itmkndCd=4&amp;obsCd=118</t>
    <phoneticPr fontId="1"/>
  </si>
  <si>
    <t>https://www.river.go.jp/kawabou/pc/tm?zm=12&amp;clat=34.53965157244904&amp;clon=135.794792175293&amp;fld=0&amp;mapType=0&amp;viewGrpStg=0&amp;viewRd=1&amp;viewRW=1&amp;viewRl=1&amp;viewRn=1&amp;viewPoint=1&amp;ext=0&amp;ofcCd=7425&amp;itmkndCd=4&amp;obsCd=119</t>
    <phoneticPr fontId="1"/>
  </si>
  <si>
    <t>https://www.river.go.jp/kawabou/pc/tm?zm=12&amp;clat=34.53965157244904&amp;clon=135.794792175293&amp;fld=0&amp;mapType=0&amp;viewGrpStg=0&amp;viewRd=1&amp;viewRW=1&amp;viewRl=1&amp;viewRn=1&amp;viewPoint=1&amp;ext=0&amp;ofcCd=7425&amp;itmkndCd=4&amp;obsCd=151</t>
    <phoneticPr fontId="1"/>
  </si>
  <si>
    <t>https://www.river.go.jp/kawabou/pc/tm?zm=12&amp;clat=34.587714812745794&amp;clon=135.76904296875003&amp;fld=0&amp;mapType=0&amp;viewGrpStg=0&amp;viewRd=1&amp;viewRW=1&amp;viewRl=1&amp;viewRn=1&amp;viewPoint=1&amp;ext=0&amp;ofcCd=7425&amp;itmkndCd=4&amp;obsCd=149</t>
    <phoneticPr fontId="1"/>
  </si>
  <si>
    <t>https://www.river.go.jp/kawabou/pc/tm?zm=12&amp;clat=34.587714812745794&amp;clon=135.76904296875003&amp;fld=0&amp;mapType=0&amp;viewGrpStg=0&amp;viewRd=1&amp;viewRW=1&amp;viewRl=1&amp;viewRn=1&amp;viewPoint=1&amp;ext=0&amp;ofcCd=22069&amp;itmkndCd=4&amp;obsCd=3</t>
    <phoneticPr fontId="1"/>
  </si>
  <si>
    <t>https://www.river.go.jp/kawabou/pc/tm?zm=12&amp;clat=34.587714812745794&amp;clon=135.76904296875003&amp;fld=0&amp;mapType=0&amp;viewGrpStg=0&amp;viewRd=1&amp;viewRW=1&amp;viewRl=1&amp;viewRn=1&amp;viewPoint=1&amp;ext=0&amp;ofcCd=7425&amp;itmkndCd=4&amp;obsCd=152</t>
    <phoneticPr fontId="1"/>
  </si>
  <si>
    <t>https://www.river.go.jp/kawabou/pc/tm?zm=12&amp;clat=34.587714812745794&amp;clon=135.76904296875003&amp;fld=0&amp;mapType=0&amp;viewGrpStg=0&amp;viewRd=1&amp;viewRW=1&amp;viewRl=1&amp;viewRn=1&amp;viewPoint=1&amp;ext=0&amp;ofcCd=7425&amp;itmkndCd=4&amp;obsCd=153</t>
    <phoneticPr fontId="1"/>
  </si>
  <si>
    <t>https://www.river.go.jp/kawabou/pc/tm?zm=12&amp;clat=34.587714812745794&amp;clon=135.76904296875003&amp;fld=0&amp;mapType=0&amp;viewGrpStg=0&amp;viewRd=1&amp;viewRW=1&amp;viewRl=1&amp;viewRn=1&amp;viewPoint=1&amp;ext=0&amp;ofcCd=7425&amp;itmkndCd=4&amp;obsCd=115</t>
    <phoneticPr fontId="1"/>
  </si>
  <si>
    <t>https://www.river.go.jp/kawabou/pc/tm?zm=12&amp;clat=34.51872125149355&amp;clon=135.74981689453128&amp;fld=0&amp;mapType=0&amp;viewGrpStg=0&amp;viewRd=1&amp;viewRW=1&amp;viewRl=1&amp;viewRn=1&amp;viewPoint=1&amp;ext=0&amp;ofcCd=7425&amp;itmkndCd=4&amp;obsCd=112</t>
    <phoneticPr fontId="1"/>
  </si>
  <si>
    <t>https://www.river.go.jp/kawabou/pc/tm?zm=12&amp;clat=34.51872125149355&amp;clon=135.74981689453128&amp;fld=0&amp;mapType=0&amp;viewGrpStg=0&amp;viewRd=1&amp;viewRW=1&amp;viewRl=1&amp;viewRn=1&amp;viewPoint=1&amp;ext=0&amp;ofcCd=7425&amp;itmkndCd=4&amp;obsCd=154</t>
    <phoneticPr fontId="1"/>
  </si>
  <si>
    <t>https://www.river.go.jp/kawabou/pc/tm?zm=12&amp;clat=34.51872125149355&amp;clon=135.88611602783206&amp;fld=0&amp;mapType=0&amp;viewGrpStg=0&amp;viewRd=1&amp;viewRW=1&amp;viewRl=1&amp;viewRn=1&amp;viewPoint=1&amp;ext=0&amp;ofcCd=7425&amp;itmkndCd=4&amp;obsCd=120</t>
    <phoneticPr fontId="1"/>
  </si>
  <si>
    <t>https://www.river.go.jp/kawabou/pc/tm?zm=12&amp;clat=34.51872125149355&amp;clon=135.88611602783206&amp;fld=0&amp;mapType=0&amp;viewGrpStg=0&amp;viewRd=1&amp;viewRW=1&amp;viewRl=1&amp;viewRn=1&amp;viewPoint=1&amp;ext=0&amp;ofcCd=7425&amp;itmkndCd=4&amp;obsCd=121</t>
    <phoneticPr fontId="1"/>
  </si>
  <si>
    <t>https://www.river.go.jp/kawabou/pc/tm?zm=12&amp;clat=34.51872125149355&amp;clon=135.88611602783206&amp;fld=0&amp;mapType=0&amp;viewGrpStg=0&amp;viewRd=1&amp;viewRW=1&amp;viewRl=1&amp;viewRn=1&amp;viewPoint=1&amp;ext=0&amp;ofcCd=7425&amp;itmkndCd=4&amp;obsCd=131</t>
    <phoneticPr fontId="1"/>
  </si>
  <si>
    <t>https://www.river.go.jp/kawabou/pc/tm?zm=12&amp;clat=34.4980686189572&amp;clon=135.93555450439456&amp;fld=0&amp;mapType=0&amp;viewGrpStg=0&amp;viewRd=1&amp;viewRW=1&amp;viewRl=1&amp;viewRn=1&amp;viewPoint=1&amp;ext=0&amp;ofcCd=22067&amp;itmkndCd=4&amp;obsCd=1</t>
    <phoneticPr fontId="1"/>
  </si>
  <si>
    <t>https://www.river.go.jp/kawabou/pc/tm?zm=12&amp;clat=34.4980686189572&amp;clon=135.93555450439456&amp;fld=0&amp;mapType=0&amp;viewGrpStg=0&amp;viewRd=1&amp;viewRW=1&amp;viewRl=1&amp;viewRn=1&amp;viewPoint=1&amp;ext=0&amp;ofcCd=22067&amp;itmkndCd=4&amp;obsCd=2</t>
    <phoneticPr fontId="1"/>
  </si>
  <si>
    <t>https://www.river.go.jp/kawabou/pc/tm?zm=12&amp;clat=34.44825493197357&amp;clon=135.93486785888675&amp;fld=0&amp;mapType=0&amp;viewGrpStg=0&amp;viewRd=1&amp;viewRW=1&amp;viewRl=1&amp;viewRn=1&amp;viewPoint=1&amp;ext=0&amp;ofcCd=22067&amp;itmkndCd=4&amp;obsCd=9</t>
    <phoneticPr fontId="1"/>
  </si>
  <si>
    <t>https://www.river.go.jp/kawabou/pc/tm?zm=12&amp;clat=34.472599425831376&amp;clon=135.90911865234378&amp;fld=0&amp;mapType=0&amp;viewGrpStg=0&amp;viewRd=1&amp;viewRW=1&amp;viewRl=1&amp;viewRn=1&amp;viewPoint=1&amp;ext=0&amp;ofcCd=7425&amp;itmkndCd=4&amp;obsCd=155</t>
    <phoneticPr fontId="1"/>
  </si>
  <si>
    <t>https://www.river.go.jp/kawabou/pc/tm?zm=12&amp;clat=34.472599425831376&amp;clon=135.90911865234378&amp;fld=0&amp;mapType=0&amp;viewGrpStg=0&amp;viewRd=1&amp;viewRW=1&amp;viewRl=1&amp;viewRn=1&amp;viewPoint=1&amp;ext=0&amp;ofcCd=22067&amp;itmkndCd=4&amp;obsCd=4</t>
    <phoneticPr fontId="1"/>
  </si>
  <si>
    <t>https://www.river.go.jp/kawabou/pc/tm?zm=12&amp;clat=34.470335121217495&amp;clon=135.91667175292972&amp;fld=0&amp;mapType=0&amp;viewGrpStg=0&amp;viewRd=1&amp;viewRW=1&amp;viewRl=1&amp;viewRn=1&amp;viewPoint=1&amp;ext=0&amp;ofcCd=7425&amp;itmkndCd=4&amp;obsCd=122</t>
    <phoneticPr fontId="1"/>
  </si>
  <si>
    <t>https://www.river.go.jp/kawabou/pc/tm?zm=12&amp;clat=34.37376204215178&amp;clon=135.95134735107425&amp;fld=0&amp;mapType=0&amp;viewGrpStg=0&amp;viewRd=1&amp;viewRW=1&amp;viewRl=1&amp;viewRn=1&amp;viewPoint=1&amp;ext=0&amp;ofcCd=7425&amp;itmkndCd=4&amp;obsCd=123</t>
    <phoneticPr fontId="1"/>
  </si>
  <si>
    <t>https://www.river.go.jp/kawabou/pc/tm?zm=12&amp;clat=34.37376204215178&amp;clon=135.95134735107425&amp;fld=0&amp;mapType=0&amp;viewGrpStg=0&amp;viewRd=1&amp;viewRW=1&amp;viewRl=1&amp;viewRn=1&amp;viewPoint=1&amp;ext=0&amp;ofcCd=7425&amp;itmkndCd=4&amp;obsCd=156</t>
    <phoneticPr fontId="1"/>
  </si>
  <si>
    <t>https://www.river.go.jp/kawabou/pc/tm?zm=12&amp;clat=34.44655621402982&amp;clon=135.96645355224612&amp;fld=0&amp;mapType=0&amp;viewGrpStg=0&amp;viewRd=1&amp;viewRW=1&amp;viewRl=1&amp;viewRn=1&amp;viewPoint=1&amp;ext=0&amp;ofcCd=22077&amp;itmkndCd=4&amp;obsCd=11</t>
    <phoneticPr fontId="1"/>
  </si>
  <si>
    <t>https://www.river.go.jp/kawabou/pc/tm?zm=12&amp;clat=34.34343606848294&amp;clon=135.8878326416016&amp;fld=0&amp;mapType=0&amp;viewGrpStg=0&amp;viewRd=1&amp;viewRW=1&amp;viewRl=1&amp;viewRn=1&amp;viewPoint=1&amp;ext=0&amp;ofcCd=22077&amp;itmkndCd=4&amp;obsCd=4</t>
    <phoneticPr fontId="1"/>
  </si>
  <si>
    <t>https://www.river.go.jp/kawabou/pc/tm?zm=12&amp;clat=34.34343606848294&amp;clon=135.8878326416016&amp;fld=0&amp;mapType=0&amp;viewGrpStg=0&amp;viewRd=1&amp;viewRW=1&amp;viewRl=1&amp;viewRn=1&amp;viewPoint=1&amp;ext=0&amp;ofcCd=7425&amp;itmkndCd=4&amp;obsCd=157</t>
    <phoneticPr fontId="1"/>
  </si>
  <si>
    <t>https://www.river.go.jp/kawabou/pc/tm?zm=12&amp;clat=34.34343606848294&amp;clon=135.8878326416016&amp;fld=0&amp;mapType=0&amp;viewGrpStg=0&amp;viewRd=1&amp;viewRW=1&amp;viewRl=1&amp;viewRn=1&amp;viewPoint=1&amp;ext=0&amp;ofcCd=7425&amp;itmkndCd=4&amp;obsCd=158</t>
    <phoneticPr fontId="1"/>
  </si>
  <si>
    <t>新宮川水系</t>
    <rPh sb="0" eb="3">
      <t>シングウガワ</t>
    </rPh>
    <rPh sb="3" eb="5">
      <t>スイケイ</t>
    </rPh>
    <phoneticPr fontId="1"/>
  </si>
  <si>
    <t>https://www.river.go.jp/kawabou/pc/tm?zm=13&amp;clat=34.18212773198446&amp;clon=135.7644081115723&amp;fld=0&amp;mapType=0&amp;viewGrpStg=0&amp;viewRd=1&amp;viewRW=1&amp;viewRl=1&amp;viewRn=1&amp;viewPoint=1&amp;ext=0&amp;ofcCd=22077&amp;itmkndCd=4&amp;obsCd=7</t>
    <phoneticPr fontId="1"/>
  </si>
  <si>
    <t>https://www.river.go.jp/kawabou/pc/tm?zm=13&amp;clat=34.18212773198446&amp;clon=135.7644081115723&amp;fld=0&amp;mapType=0&amp;viewGrpStg=0&amp;viewRd=1&amp;viewRW=1&amp;viewRl=1&amp;viewRn=1&amp;viewPoint=1&amp;ext=0&amp;ofcCd=7425&amp;itmkndCd=4&amp;obsCd=139</t>
    <phoneticPr fontId="1"/>
  </si>
  <si>
    <t>https://www.river.go.jp/kawabou/pc/tm?zm=13&amp;clat=34.356191319684015&amp;clon=135.91117858886722&amp;fld=0&amp;mapType=0&amp;viewGrpStg=0&amp;viewRd=1&amp;viewRW=1&amp;viewRl=1&amp;viewRn=1&amp;viewPoint=1&amp;ext=0&amp;ofcCd=7425&amp;itmkndCd=4&amp;obsCd=124</t>
    <phoneticPr fontId="1"/>
  </si>
  <si>
    <t>https://www.river.go.jp/kawabou/pc/tm?zm=14&amp;clat=34.362143106071905&amp;clon=135.72475433349612&amp;fld=0&amp;mapType=0&amp;viewGrpStg=0&amp;viewRd=1&amp;viewRW=1&amp;viewRl=1&amp;viewRn=1&amp;viewPoint=1&amp;ext=0&amp;ofcCd=7425&amp;itmkndCd=4&amp;obsCd=125</t>
    <phoneticPr fontId="1"/>
  </si>
  <si>
    <t>https://www.river.go.jp/kawabou/pc/tm?zm=13&amp;clat=34.33067887679474&amp;clon=135.7479286193848&amp;fld=0&amp;mapType=0&amp;viewGrpStg=0&amp;viewRd=1&amp;viewRW=1&amp;viewRl=1&amp;viewRn=1&amp;viewPoint=1&amp;ext=0&amp;ofcCd=7425&amp;itmkndCd=4&amp;obsCd=159</t>
    <phoneticPr fontId="1"/>
  </si>
  <si>
    <t>https://www.river.go.jp/kawabou/pc/tm?zm=13&amp;clat=34.31394984163214&amp;clon=135.76526641845706&amp;fld=0&amp;mapType=0&amp;viewGrpStg=0&amp;viewRd=1&amp;viewRW=1&amp;viewRl=1&amp;viewRn=1&amp;viewPoint=1&amp;ext=0&amp;ofcCd=22087&amp;itmkndCd=4&amp;obsCd=13</t>
    <phoneticPr fontId="1"/>
  </si>
  <si>
    <t>https://www.river.go.jp/kawabou/pc/tm?zm=13&amp;clat=34.31394984163214&amp;clon=135.76526641845706&amp;fld=0&amp;mapType=0&amp;viewGrpStg=0&amp;viewRd=1&amp;viewRW=1&amp;viewRl=1&amp;viewRn=1&amp;viewPoint=1&amp;ext=0&amp;ofcCd=7425&amp;itmkndCd=4&amp;obsCd=126</t>
    <phoneticPr fontId="1"/>
  </si>
  <si>
    <t>https://www.river.go.jp/kawabou/pc/tm?zm=13&amp;clat=34.06787617820785&amp;clon=135.79874038696292&amp;fld=0&amp;mapType=0&amp;viewGrpStg=0&amp;viewRd=1&amp;viewRW=1&amp;viewRl=1&amp;viewRn=1&amp;viewPoint=1&amp;ext=0&amp;ofcCd=7425&amp;itmkndCd=4&amp;obsCd=140</t>
    <phoneticPr fontId="1"/>
  </si>
  <si>
    <t>https://www.river.go.jp/kawabou/pc/tm?zm=13&amp;clat=34.06787617820785&amp;clon=135.79874038696292&amp;fld=0&amp;mapType=0&amp;viewGrpStg=0&amp;viewRd=1&amp;viewRW=1&amp;viewRl=1&amp;viewRn=1&amp;viewPoint=1&amp;ext=0&amp;ofcCd=7425&amp;itmkndCd=4&amp;obsCd=141</t>
    <phoneticPr fontId="1"/>
  </si>
  <si>
    <t>https://www.river.go.jp/kawabou/pc/tm?zm=13&amp;clat=34.06787617820785&amp;clon=135.79874038696292&amp;fld=0&amp;mapType=0&amp;viewGrpStg=0&amp;viewRd=1&amp;viewRW=1&amp;viewRl=1&amp;viewRn=1&amp;viewPoint=1&amp;ext=0&amp;ofcCd=7425&amp;itmkndCd=4&amp;obsCd=142</t>
    <phoneticPr fontId="1"/>
  </si>
  <si>
    <t>ofc_code</t>
    <phoneticPr fontId="1"/>
  </si>
  <si>
    <t>obs_code</t>
    <phoneticPr fontId="1"/>
  </si>
  <si>
    <t>water_url</t>
    <phoneticPr fontId="1"/>
  </si>
  <si>
    <t>camera_url</t>
    <phoneticPr fontId="1"/>
  </si>
  <si>
    <t>standby_level</t>
    <phoneticPr fontId="1"/>
  </si>
  <si>
    <t>warning_level</t>
    <phoneticPr fontId="1"/>
  </si>
  <si>
    <t>evacuation_level</t>
    <phoneticPr fontId="1"/>
  </si>
  <si>
    <t>danger_level</t>
    <phoneticPr fontId="1"/>
  </si>
  <si>
    <t>https://cam.river.go.jp/cam/now/307425004.jpg</t>
    <phoneticPr fontId="1"/>
  </si>
  <si>
    <t>https://cam.river.go.jp/cam/now/307425002.jpg</t>
    <phoneticPr fontId="1"/>
  </si>
  <si>
    <t>https://cam.river.go.jp/cam/now/307425001.jpg</t>
    <phoneticPr fontId="1"/>
  </si>
  <si>
    <t>https://cam.river.go.jp/cam/now/107425004.jpg</t>
    <phoneticPr fontId="1"/>
  </si>
  <si>
    <t>https://cam.river.go.jp/cam/now/107425005.jpg</t>
    <phoneticPr fontId="1"/>
  </si>
  <si>
    <t>https://cam.river.go.jp/cam/now/107425014.jpg</t>
    <phoneticPr fontId="1"/>
  </si>
  <si>
    <t>https://cam.river.go.jp/cam/now/107425019.jpg</t>
    <phoneticPr fontId="1"/>
  </si>
  <si>
    <t>https://cam.river.go.jp/cam/now/107425018.jpg</t>
    <phoneticPr fontId="1"/>
  </si>
  <si>
    <t>https://cam.river.go.jp/cam/now/cctv_290009_61C02755.jpg</t>
    <phoneticPr fontId="1"/>
  </si>
  <si>
    <t>https://cam.river.go.jp/cam/now/cctv_290009_61C02772.jpg</t>
    <phoneticPr fontId="1"/>
  </si>
  <si>
    <t>https://cam.river.go.jp/cam/now/307425009.jpg</t>
    <phoneticPr fontId="1"/>
  </si>
  <si>
    <t>https://cam.river.go.jp/cam/now/107425028.jpg</t>
    <phoneticPr fontId="1"/>
  </si>
  <si>
    <t>hhttps://cam.river.go.jp/cam/now/107425042.jpg</t>
    <phoneticPr fontId="1"/>
  </si>
  <si>
    <t>https://cam.river.go.jp/cam/now/307425012.jpg</t>
    <phoneticPr fontId="1"/>
  </si>
  <si>
    <t>https://cam.river.go.jp/cam/now/107425031.jpg</t>
    <phoneticPr fontId="1"/>
  </si>
  <si>
    <t>https://cam.river.go.jp/cam/now/307425010.jpg</t>
    <phoneticPr fontId="1"/>
  </si>
  <si>
    <t>https://cam.river.go.jp/cam/now/307425003.jpg</t>
    <phoneticPr fontId="1"/>
  </si>
  <si>
    <t>https://cam.river.go.jp/cam/now/cctv_290009_61C02763.jpg</t>
    <phoneticPr fontId="1"/>
  </si>
  <si>
    <t>https://cam.river.go.jp/cam/now/122069015.jpg</t>
    <phoneticPr fontId="1"/>
  </si>
  <si>
    <t>https://cam.river.go.jp/cam/now/107425061.jpg</t>
    <phoneticPr fontId="1"/>
  </si>
  <si>
    <t>https://cam.river.go.jp/cam/now/cctv_290009_61C02739.jpg</t>
    <phoneticPr fontId="1"/>
  </si>
  <si>
    <t>https://cam.river.go.jp/cam/now/307425005.jpg</t>
    <phoneticPr fontId="1"/>
  </si>
  <si>
    <t>https://cam.river.go.jp/cam/now/307425006.jpg</t>
    <phoneticPr fontId="1"/>
  </si>
  <si>
    <t>https://cam.river.go.jp/cam/now/307425007.jpg</t>
    <phoneticPr fontId="1"/>
  </si>
  <si>
    <t>https://cam.river.go.jp/cam/now/107425025.jpg</t>
    <phoneticPr fontId="1"/>
  </si>
  <si>
    <t>https://cam.river.go.jp/cam/now/107425024.jpg</t>
    <phoneticPr fontId="1"/>
  </si>
  <si>
    <t>https://cam.river.go.jp/cam/now/107425046.jpg</t>
    <phoneticPr fontId="1"/>
  </si>
  <si>
    <t>https://cam.river.go.jp/cam/now/cctv_290009_61C04372.jpg</t>
    <phoneticPr fontId="1"/>
  </si>
  <si>
    <t>https://cam.river.go.jp/cam/now/107425051.jpg</t>
    <phoneticPr fontId="1"/>
  </si>
  <si>
    <t>https://cam.river.go.jp/cam/now/307425013.jpg</t>
    <phoneticPr fontId="1"/>
  </si>
  <si>
    <t>https://cam.river.go.jp/cam/now/307425014.jpg</t>
    <phoneticPr fontId="1"/>
  </si>
  <si>
    <t>https://www.river.go.jp/kawabou/pc/tm?zm=12&amp;clat=34.4575&amp;clon=135.7638889&amp;fld=0&amp;mapType=0&amp;viewGrpStg=0&amp;viewRd=1&amp;viewRW=1&amp;viewRl=1&amp;viewRn=1&amp;viewPoint=1&amp;ext=0&amp;ofcCd=7425&amp;itmkndCd=4&amp;obsCd=150</t>
    <phoneticPr fontId="1"/>
  </si>
  <si>
    <t>https://cam.river.go.jp/cam/now/107425058.jpg</t>
    <phoneticPr fontId="1"/>
  </si>
  <si>
    <t>https://cam.river.go.jp/cam/now/107425059.jpg</t>
    <phoneticPr fontId="1"/>
  </si>
  <si>
    <t>https://cam.river.go.jp/cam/now/307425011.jpg</t>
    <phoneticPr fontId="1"/>
  </si>
  <si>
    <t>https://cam.river.go.jp/cam/now/107425034.jpg</t>
    <phoneticPr fontId="1"/>
  </si>
  <si>
    <t>https://cam.river.go.jp/cam/now/107425037.jpg</t>
    <phoneticPr fontId="1"/>
  </si>
  <si>
    <t>https://cam.river.go.jp/cam/now/cctv_290009_61C03317.jpg</t>
    <phoneticPr fontId="1"/>
  </si>
  <si>
    <t>https://cam.river.go.jp/cam/now/107425055.jpg</t>
    <phoneticPr fontId="1"/>
  </si>
  <si>
    <t>https://cam.river.go.jp/cam/now/107425054.jpg</t>
    <phoneticPr fontId="1"/>
  </si>
  <si>
    <t>https://cam.river.go.jp/cam/now/107425068.jpg</t>
    <phoneticPr fontId="1"/>
  </si>
  <si>
    <t>https://cam.river.go.jp/cam/now/307425016.jpg</t>
    <phoneticPr fontId="1"/>
  </si>
  <si>
    <t>https://cam.river.go.jp/cam/now/307425015.jpg</t>
    <phoneticPr fontId="1"/>
  </si>
  <si>
    <t>https://cam.river.go.jp/cam/now/307425008.jpg</t>
    <phoneticPr fontId="1"/>
  </si>
  <si>
    <t>https://cam.river.go.jp/cam/now/cctv_290009_61C02849.jpg</t>
    <phoneticPr fontId="1"/>
  </si>
  <si>
    <t>station_kana</t>
    <phoneticPr fontId="1"/>
  </si>
  <si>
    <t>river_kana</t>
    <phoneticPr fontId="1"/>
  </si>
  <si>
    <t>奈良市荻町</t>
    <phoneticPr fontId="1"/>
  </si>
  <si>
    <t>（北西部）奈良市西部</t>
    <rPh sb="1" eb="4">
      <t>ホクセイブ</t>
    </rPh>
    <rPh sb="5" eb="8">
      <t>ナラシ</t>
    </rPh>
    <rPh sb="8" eb="10">
      <t>セイブ</t>
    </rPh>
    <phoneticPr fontId="1"/>
  </si>
  <si>
    <t>（北西部）奈良市東部</t>
    <rPh sb="1" eb="4">
      <t>ホクセイブ</t>
    </rPh>
    <rPh sb="5" eb="8">
      <t>ナラシ</t>
    </rPh>
    <rPh sb="8" eb="10">
      <t>トウブ</t>
    </rPh>
    <phoneticPr fontId="1"/>
  </si>
  <si>
    <t>（北西部）奈良市東部</t>
    <rPh sb="1" eb="4">
      <t>ホクセイブ</t>
    </rPh>
    <rPh sb="5" eb="10">
      <t>ナラシトウブ</t>
    </rPh>
    <phoneticPr fontId="1"/>
  </si>
  <si>
    <t>（北西部）大和郡山市</t>
    <rPh sb="1" eb="4">
      <t>ホクセイブ</t>
    </rPh>
    <rPh sb="5" eb="10">
      <t>ヤマトコオリヤマシ</t>
    </rPh>
    <phoneticPr fontId="1"/>
  </si>
  <si>
    <t>（北西部）天理市</t>
    <rPh sb="1" eb="4">
      <t>ホクセイブ</t>
    </rPh>
    <phoneticPr fontId="1"/>
  </si>
  <si>
    <t>（北東部）山添村</t>
    <rPh sb="1" eb="4">
      <t>ホクトウブ</t>
    </rPh>
    <rPh sb="5" eb="7">
      <t>ヤマゾエ</t>
    </rPh>
    <rPh sb="7" eb="8">
      <t>ムラ</t>
    </rPh>
    <phoneticPr fontId="1"/>
  </si>
  <si>
    <t>（北西部）生駒市</t>
    <rPh sb="1" eb="4">
      <t>ホクセイブ</t>
    </rPh>
    <rPh sb="5" eb="8">
      <t>イコマシ</t>
    </rPh>
    <phoneticPr fontId="1"/>
  </si>
  <si>
    <t>（北西部）平群町</t>
    <rPh sb="1" eb="4">
      <t>ホクセイブ</t>
    </rPh>
    <rPh sb="5" eb="7">
      <t>ヘグリ</t>
    </rPh>
    <rPh sb="7" eb="8">
      <t>チョウ</t>
    </rPh>
    <phoneticPr fontId="1"/>
  </si>
  <si>
    <t>（北西部）三郷町</t>
    <rPh sb="1" eb="4">
      <t>ホクセイブ</t>
    </rPh>
    <rPh sb="5" eb="8">
      <t>サンゴウチョウ</t>
    </rPh>
    <phoneticPr fontId="1"/>
  </si>
  <si>
    <t>（北西部）斑鳩町</t>
    <rPh sb="1" eb="4">
      <t>ホクセイブ</t>
    </rPh>
    <rPh sb="5" eb="8">
      <t>イカルガチョウ</t>
    </rPh>
    <phoneticPr fontId="1"/>
  </si>
  <si>
    <t>（北西部）大和高田市</t>
    <rPh sb="1" eb="4">
      <t>ホクセイブ</t>
    </rPh>
    <rPh sb="5" eb="10">
      <t>ヤマトタカダシ</t>
    </rPh>
    <phoneticPr fontId="1"/>
  </si>
  <si>
    <t>（北西部）御所市</t>
    <rPh sb="1" eb="4">
      <t>ホクセイブ</t>
    </rPh>
    <rPh sb="5" eb="8">
      <t>ゴセシ</t>
    </rPh>
    <phoneticPr fontId="1"/>
  </si>
  <si>
    <t>（北西部）香芝市</t>
    <rPh sb="1" eb="4">
      <t>ホクセイブ</t>
    </rPh>
    <rPh sb="5" eb="8">
      <t>カシバシ</t>
    </rPh>
    <phoneticPr fontId="1"/>
  </si>
  <si>
    <t>（北西部）王寺町</t>
    <rPh sb="1" eb="4">
      <t>ホクセイブ</t>
    </rPh>
    <rPh sb="5" eb="8">
      <t>オウジチョウ</t>
    </rPh>
    <phoneticPr fontId="1"/>
  </si>
  <si>
    <t>（北西部）広陵町</t>
    <rPh sb="1" eb="4">
      <t>ホクセイブ</t>
    </rPh>
    <rPh sb="5" eb="8">
      <t>コウリョウチョウ</t>
    </rPh>
    <phoneticPr fontId="1"/>
  </si>
  <si>
    <t>（北西部）河合町</t>
    <rPh sb="1" eb="4">
      <t>ホクセイブ</t>
    </rPh>
    <rPh sb="5" eb="8">
      <t>カワイチョウ</t>
    </rPh>
    <phoneticPr fontId="1"/>
  </si>
  <si>
    <t>（北西部）橿原市</t>
    <rPh sb="1" eb="4">
      <t>ホクセイブ</t>
    </rPh>
    <rPh sb="5" eb="8">
      <t>カシハラシ</t>
    </rPh>
    <phoneticPr fontId="1"/>
  </si>
  <si>
    <t>（北西部）桜井市</t>
    <rPh sb="1" eb="4">
      <t>ホクセイブ</t>
    </rPh>
    <rPh sb="5" eb="8">
      <t>サクライシ</t>
    </rPh>
    <phoneticPr fontId="1"/>
  </si>
  <si>
    <t>（北西部）川西町</t>
    <rPh sb="1" eb="4">
      <t>ホクセイブ</t>
    </rPh>
    <rPh sb="5" eb="8">
      <t>カワニシチョウ</t>
    </rPh>
    <phoneticPr fontId="1"/>
  </si>
  <si>
    <t>（北西部）三宅町</t>
    <rPh sb="1" eb="4">
      <t>ホクセイブ</t>
    </rPh>
    <rPh sb="5" eb="8">
      <t>ミヤケチョウ</t>
    </rPh>
    <phoneticPr fontId="1"/>
  </si>
  <si>
    <t>（北西部）田原本町</t>
    <rPh sb="1" eb="4">
      <t>ホクセイブ</t>
    </rPh>
    <rPh sb="5" eb="9">
      <t>タワラモトチョウ</t>
    </rPh>
    <phoneticPr fontId="1"/>
  </si>
  <si>
    <t>（北西部）高取町</t>
    <rPh sb="1" eb="4">
      <t>ホクセイブ</t>
    </rPh>
    <rPh sb="5" eb="8">
      <t>タカトリチョウ</t>
    </rPh>
    <phoneticPr fontId="1"/>
  </si>
  <si>
    <t>（北西部）明日香村</t>
    <rPh sb="1" eb="4">
      <t>ホクセイブ</t>
    </rPh>
    <rPh sb="5" eb="9">
      <t>アスカムラ</t>
    </rPh>
    <phoneticPr fontId="1"/>
  </si>
  <si>
    <t>（北東部）宇陀市</t>
    <rPh sb="1" eb="4">
      <t>ホクトウブ</t>
    </rPh>
    <rPh sb="5" eb="8">
      <t>ウダシ</t>
    </rPh>
    <phoneticPr fontId="1"/>
  </si>
  <si>
    <t>（南東部）曽爾村</t>
    <rPh sb="1" eb="4">
      <t>ナントウブ</t>
    </rPh>
    <rPh sb="5" eb="7">
      <t>ソニ</t>
    </rPh>
    <rPh sb="7" eb="8">
      <t>ムラ</t>
    </rPh>
    <phoneticPr fontId="1"/>
  </si>
  <si>
    <t>（南東部）東吉野村</t>
    <rPh sb="1" eb="4">
      <t>ナントウブ</t>
    </rPh>
    <rPh sb="5" eb="9">
      <t>ヒガシヨシノムラ</t>
    </rPh>
    <phoneticPr fontId="1"/>
  </si>
  <si>
    <t>（五條・北部吉野）吉野町</t>
    <rPh sb="1" eb="3">
      <t>ゴジョウ</t>
    </rPh>
    <rPh sb="4" eb="8">
      <t>ホクブヨシノ</t>
    </rPh>
    <rPh sb="9" eb="12">
      <t>ヨシノチョウ</t>
    </rPh>
    <phoneticPr fontId="1"/>
  </si>
  <si>
    <t>（五條・北部吉野）大淀町</t>
    <rPh sb="1" eb="3">
      <t>ゴジョウ</t>
    </rPh>
    <rPh sb="4" eb="8">
      <t>ホクブヨシノ</t>
    </rPh>
    <rPh sb="9" eb="12">
      <t>オオヨドチョウ</t>
    </rPh>
    <phoneticPr fontId="1"/>
  </si>
  <si>
    <t>（五條・北部吉野）下市町</t>
    <rPh sb="1" eb="3">
      <t>ゴジョウ</t>
    </rPh>
    <rPh sb="4" eb="8">
      <t>ホクブヨシノ</t>
    </rPh>
    <rPh sb="9" eb="11">
      <t>シモイチ</t>
    </rPh>
    <rPh sb="11" eb="12">
      <t>チョウ</t>
    </rPh>
    <phoneticPr fontId="1"/>
  </si>
  <si>
    <t>（南東部）天川村</t>
    <rPh sb="1" eb="4">
      <t>ナントウブ</t>
    </rPh>
    <rPh sb="5" eb="8">
      <t>テンカワムラ</t>
    </rPh>
    <phoneticPr fontId="1"/>
  </si>
  <si>
    <t>（南東部）川上村</t>
    <rPh sb="1" eb="4">
      <t>ナントウブ</t>
    </rPh>
    <rPh sb="5" eb="8">
      <t>カワカミムラ</t>
    </rPh>
    <phoneticPr fontId="1"/>
  </si>
  <si>
    <t>（五條・北部吉野）五條市北部</t>
    <rPh sb="1" eb="3">
      <t>ゴジョウ</t>
    </rPh>
    <rPh sb="4" eb="8">
      <t>ホクブヨシノ</t>
    </rPh>
    <rPh sb="9" eb="12">
      <t>ゴジョウシ</t>
    </rPh>
    <rPh sb="12" eb="14">
      <t>ホクブ</t>
    </rPh>
    <phoneticPr fontId="1"/>
  </si>
  <si>
    <t>（南西部）五條市南部</t>
    <rPh sb="1" eb="4">
      <t>ナンセイブ</t>
    </rPh>
    <rPh sb="5" eb="8">
      <t>ゴジョウシ</t>
    </rPh>
    <rPh sb="8" eb="10">
      <t>ナンブ</t>
    </rPh>
    <phoneticPr fontId="1"/>
  </si>
  <si>
    <t>（南西部）十津川村</t>
  </si>
  <si>
    <t>（南西部）十津川村</t>
    <rPh sb="1" eb="4">
      <t>ナンセイブ</t>
    </rPh>
    <rPh sb="5" eb="9">
      <t>トツカワムラ</t>
    </rPh>
    <phoneticPr fontId="1"/>
  </si>
  <si>
    <t>region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</si>
</sst>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1">
      <alignment vertical="center"/>
    </xf>
    <xf numFmtId="0" fontId="3" fillId="0" borderId="0" xfId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7425&amp;itmkndCd=4&amp;obsCd=103" TargetMode="External"/><Relationship Id="rId117" Type="http://schemas.openxmlformats.org/officeDocument/2006/relationships/hyperlink" Target="https://cam.river.go.jp/cam/now/107425024.jpg" TargetMode="External"/><Relationship Id="rId21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7425&amp;itmkndCd=4&amp;obsCd=105" TargetMode="External"/><Relationship Id="rId42" Type="http://schemas.openxmlformats.org/officeDocument/2006/relationships/hyperlink" Target="https://www.river.go.jp/kawabou/pc/tm?zm=12&amp;clat=34.496087960638086&amp;clon=135.76423645019534&amp;fld=0&amp;mapType=0&amp;viewGrpStg=0&amp;viewRd=1&amp;viewRW=1&amp;viewRl=1&amp;viewRn=1&amp;viewPoint=1&amp;ext=0&amp;ofcCd=7425&amp;itmkndCd=4&amp;obsCd=147" TargetMode="External"/><Relationship Id="rId47" Type="http://schemas.openxmlformats.org/officeDocument/2006/relationships/hyperlink" Target="https://www.river.go.jp/kawabou/pc/tm?zm=12&amp;clat=34.557466483188996&amp;clon=135.76560974121097&amp;fld=0&amp;mapType=0&amp;viewGrpStg=0&amp;viewRd=1&amp;viewRW=1&amp;viewRl=1&amp;viewRn=1&amp;viewPoint=1&amp;ext=0&amp;ofcCd=7425&amp;itmkndCd=4&amp;obsCd=148" TargetMode="External"/><Relationship Id="rId63" Type="http://schemas.openxmlformats.org/officeDocument/2006/relationships/hyperlink" Target="https://cam.river.go.jp/cam/now/107425046.jpg" TargetMode="External"/><Relationship Id="rId68" Type="http://schemas.openxmlformats.org/officeDocument/2006/relationships/hyperlink" Target="https://www.river.go.jp/kawabou/pc/tm?zm=12&amp;clat=34.587714812745794&amp;clon=135.76904296875003&amp;fld=0&amp;mapType=0&amp;viewGrpStg=0&amp;viewRd=1&amp;viewRW=1&amp;viewRl=1&amp;viewRn=1&amp;viewPoint=1&amp;ext=0&amp;ofcCd=7425&amp;itmkndCd=4&amp;obsCd=153" TargetMode="External"/><Relationship Id="rId84" Type="http://schemas.openxmlformats.org/officeDocument/2006/relationships/hyperlink" Target="https://www.river.go.jp/kawabou/pc/tm?zm=12&amp;clat=34.44825493197357&amp;clon=135.93486785888675&amp;fld=0&amp;mapType=0&amp;viewGrpStg=0&amp;viewRd=1&amp;viewRW=1&amp;viewRl=1&amp;viewRn=1&amp;viewPoint=1&amp;ext=0&amp;ofcCd=22067&amp;itmkndCd=4&amp;obsCd=9" TargetMode="External"/><Relationship Id="rId89" Type="http://schemas.openxmlformats.org/officeDocument/2006/relationships/hyperlink" Target="https://www.river.go.jp/kawabou/pc/tm?zm=12&amp;clat=34.472599425831376&amp;clon=135.90911865234378&amp;fld=0&amp;mapType=0&amp;viewGrpStg=0&amp;viewRd=1&amp;viewRW=1&amp;viewRl=1&amp;viewRn=1&amp;viewPoint=1&amp;ext=0&amp;ofcCd=22067&amp;itmkndCd=4&amp;obsCd=4" TargetMode="External"/><Relationship Id="rId112" Type="http://schemas.openxmlformats.org/officeDocument/2006/relationships/hyperlink" Target="https://cam.river.go.jp/cam/now/307425003.jpg" TargetMode="External"/><Relationship Id="rId16" Type="http://schemas.openxmlformats.org/officeDocument/2006/relationships/hyperlink" Target="https://cam.river.go.jp/cam/now/107425019.jpg" TargetMode="External"/><Relationship Id="rId107" Type="http://schemas.openxmlformats.org/officeDocument/2006/relationships/hyperlink" Target="https://www.river.go.jp/kawabou/pc/tm?zm=13&amp;clat=34.31394984163214&amp;clon=135.76526641845706&amp;fld=0&amp;mapType=0&amp;viewGrpStg=0&amp;viewRd=1&amp;viewRW=1&amp;viewRl=1&amp;viewRn=1&amp;viewPoint=1&amp;ext=0&amp;ofcCd=7425&amp;itmkndCd=4&amp;obsCd=126" TargetMode="External"/><Relationship Id="rId11" Type="http://schemas.openxmlformats.org/officeDocument/2006/relationships/hyperlink" Target="https://www.river.go.jp/kawabou/pc/tm?zm=12&amp;clat=34.64563646992299&amp;clon=135.91495513916018&amp;fld=0&amp;mapType=0&amp;viewGrpStg=0&amp;viewRd=1&amp;viewRW=1&amp;viewRl=1&amp;viewRn=1&amp;viewPoint=1&amp;ext=0&amp;ofcCd=22067&amp;itmkndCd=4&amp;obsCd=10" TargetMode="External"/><Relationship Id="rId32" Type="http://schemas.openxmlformats.org/officeDocument/2006/relationships/hyperlink" Target="https://www.river.go.jp/kawabou/pc/tm?zm=12&amp;clat=34.60241096129153&amp;clon=135.76938629150393&amp;fld=0&amp;mapType=0&amp;viewGrpStg=0&amp;viewRd=1&amp;viewRW=1&amp;viewRl=1&amp;viewRn=1&amp;viewPoint=1&amp;ext=0&amp;ofcCd=7425&amp;itmkndCd=4&amp;obsCd=137" TargetMode="External"/><Relationship Id="rId37" Type="http://schemas.openxmlformats.org/officeDocument/2006/relationships/hyperlink" Target="https://www.river.go.jp/kawabou/pc/tm?zm=12&amp;clat=34.60241096129153&amp;clon=135.76938629150393&amp;fld=0&amp;mapType=0&amp;viewGrpStg=0&amp;viewRd=1&amp;viewRW=1&amp;viewRl=1&amp;viewRn=1&amp;viewPoint=1&amp;ext=0&amp;ofcCd=7425&amp;itmkndCd=4&amp;obsCd=107" TargetMode="External"/><Relationship Id="rId53" Type="http://schemas.openxmlformats.org/officeDocument/2006/relationships/hyperlink" Target="https://www.river.go.jp/kawabou/pc/tm?zm=12&amp;clat=34.557466483188996&amp;clon=135.76560974121097&amp;fld=0&amp;mapType=0&amp;viewGrpStg=0&amp;viewRd=1&amp;viewRW=1&amp;viewRl=1&amp;viewRn=1&amp;viewPoint=1&amp;ext=0&amp;ofcCd=7425&amp;itmkndCd=4&amp;obsCd=111" TargetMode="External"/><Relationship Id="rId58" Type="http://schemas.openxmlformats.org/officeDocument/2006/relationships/hyperlink" Target="https://www.river.go.jp/kawabou/pc/tm?zm=12&amp;clat=34.53965157244904&amp;clon=135.794792175293&amp;fld=0&amp;mapType=0&amp;viewGrpStg=0&amp;viewRd=1&amp;viewRW=1&amp;viewRl=1&amp;viewRn=1&amp;viewPoint=1&amp;ext=0&amp;ofcCd=7425&amp;itmkndCd=4&amp;obsCd=118" TargetMode="External"/><Relationship Id="rId74" Type="http://schemas.openxmlformats.org/officeDocument/2006/relationships/hyperlink" Target="https://www.river.go.jp/kawabou/pc/tm?zm=12&amp;clat=34.51872125149355&amp;clon=135.74981689453128&amp;fld=0&amp;mapType=0&amp;viewGrpStg=0&amp;viewRd=1&amp;viewRW=1&amp;viewRl=1&amp;viewRn=1&amp;viewPoint=1&amp;ext=0&amp;ofcCd=7425&amp;itmkndCd=4&amp;obsCd=154" TargetMode="External"/><Relationship Id="rId79" Type="http://schemas.openxmlformats.org/officeDocument/2006/relationships/hyperlink" Target="https://cam.river.go.jp/cam/now/107425034.jpg" TargetMode="External"/><Relationship Id="rId102" Type="http://schemas.openxmlformats.org/officeDocument/2006/relationships/hyperlink" Target="https://www.river.go.jp/kawabou/pc/tm?zm=13&amp;clat=34.356191319684015&amp;clon=135.91117858886722&amp;fld=0&amp;mapType=0&amp;viewGrpStg=0&amp;viewRd=1&amp;viewRW=1&amp;viewRl=1&amp;viewRn=1&amp;viewPoint=1&amp;ext=0&amp;ofcCd=7425&amp;itmkndCd=4&amp;obsCd=124" TargetMode="External"/><Relationship Id="rId5" Type="http://schemas.openxmlformats.org/officeDocument/2006/relationships/hyperlink" Target="https://cam.river.go.jp/cam/now/307425001.jpg" TargetMode="External"/><Relationship Id="rId90" Type="http://schemas.openxmlformats.org/officeDocument/2006/relationships/hyperlink" Target="https://www.river.go.jp/kawabou/pc/tm?zm=12&amp;clat=34.470335121217495&amp;clon=135.91667175292972&amp;fld=0&amp;mapType=0&amp;viewGrpStg=0&amp;viewRd=1&amp;viewRW=1&amp;viewRl=1&amp;viewRn=1&amp;viewPoint=1&amp;ext=0&amp;ofcCd=7425&amp;itmkndCd=4&amp;obsCd=122" TargetMode="External"/><Relationship Id="rId95" Type="http://schemas.openxmlformats.org/officeDocument/2006/relationships/hyperlink" Target="https://www.river.go.jp/kawabou/pc/tm?zm=12&amp;clat=34.44655621402982&amp;clon=135.96645355224612&amp;fld=0&amp;mapType=0&amp;viewGrpStg=0&amp;viewRd=1&amp;viewRW=1&amp;viewRl=1&amp;viewRn=1&amp;viewPoint=1&amp;ext=0&amp;ofcCd=22077&amp;itmkndCd=4&amp;obsCd=11" TargetMode="External"/><Relationship Id="rId22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22069&amp;itmkndCd=4&amp;obsCd=1" TargetMode="External"/><Relationship Id="rId27" Type="http://schemas.openxmlformats.org/officeDocument/2006/relationships/hyperlink" Target="https://cam.river.go.jp/cam/now/307425009.jpg" TargetMode="External"/><Relationship Id="rId43" Type="http://schemas.openxmlformats.org/officeDocument/2006/relationships/hyperlink" Target="https://cam.river.go.jp/cam/now/307425010.jpg" TargetMode="External"/><Relationship Id="rId48" Type="http://schemas.openxmlformats.org/officeDocument/2006/relationships/hyperlink" Target="https://cam.river.go.jp/cam/now/cctv_290009_61C02739.jpg" TargetMode="External"/><Relationship Id="rId64" Type="http://schemas.openxmlformats.org/officeDocument/2006/relationships/hyperlink" Target="https://www.river.go.jp/kawabou/pc/tm?zm=12&amp;clat=34.587714812745794&amp;clon=135.76904296875003&amp;fld=0&amp;mapType=0&amp;viewGrpStg=0&amp;viewRd=1&amp;viewRW=1&amp;viewRl=1&amp;viewRn=1&amp;viewPoint=1&amp;ext=0&amp;ofcCd=22069&amp;itmkndCd=4&amp;obsCd=3" TargetMode="External"/><Relationship Id="rId69" Type="http://schemas.openxmlformats.org/officeDocument/2006/relationships/hyperlink" Target="https://www.river.go.jp/kawabou/pc/tm?zm=12&amp;clat=34.587714812745794&amp;clon=135.76904296875003&amp;fld=0&amp;mapType=0&amp;viewGrpStg=0&amp;viewRd=1&amp;viewRW=1&amp;viewRl=1&amp;viewRn=1&amp;viewPoint=1&amp;ext=0&amp;ofcCd=7425&amp;itmkndCd=4&amp;obsCd=115" TargetMode="External"/><Relationship Id="rId113" Type="http://schemas.openxmlformats.org/officeDocument/2006/relationships/hyperlink" Target="https://cam.river.go.jp/cam/now/cctv_290009_61C02763.jpg" TargetMode="External"/><Relationship Id="rId118" Type="http://schemas.openxmlformats.org/officeDocument/2006/relationships/hyperlink" Target="https://cam.river.go.jp/cam/now/307425013.jpg" TargetMode="External"/><Relationship Id="rId80" Type="http://schemas.openxmlformats.org/officeDocument/2006/relationships/hyperlink" Target="https://www.river.go.jp/kawabou/pc/tm?zm=12&amp;clat=34.51872125149355&amp;clon=135.88611602783206&amp;fld=0&amp;mapType=0&amp;viewGrpStg=0&amp;viewRd=1&amp;viewRW=1&amp;viewRl=1&amp;viewRn=1&amp;viewPoint=1&amp;ext=0&amp;ofcCd=7425&amp;itmkndCd=4&amp;obsCd=131" TargetMode="External"/><Relationship Id="rId85" Type="http://schemas.openxmlformats.org/officeDocument/2006/relationships/hyperlink" Target="https://cam.river.go.jp/cam/now/107425055.jpg" TargetMode="External"/><Relationship Id="rId12" Type="http://schemas.openxmlformats.org/officeDocument/2006/relationships/hyperlink" Target="https://www.river.go.jp/kawabou/pc/tm?zm=12&amp;clat=34.64563646992299&amp;clon=135.91495513916018&amp;fld=0&amp;mapType=0&amp;viewGrpStg=0&amp;viewRd=1&amp;viewRW=1&amp;viewRl=1&amp;viewRn=1&amp;viewPoint=1&amp;ext=0&amp;ofcCd=22067&amp;itmkndCd=4&amp;obsCd=12" TargetMode="External"/><Relationship Id="rId17" Type="http://schemas.openxmlformats.org/officeDocument/2006/relationships/hyperlink" Target="https://www.river.go.jp/kawabou/pc/tm?zm=12&amp;clat=34.584323024647524&amp;clon=135.88989257812503&amp;fld=0&amp;mapType=0&amp;viewGrpStg=0&amp;viewRd=1&amp;viewRW=1&amp;viewRl=1&amp;viewRn=1&amp;viewPoint=1&amp;ext=0&amp;ofcCd=7425&amp;itmkndCd=4&amp;obsCd=128" TargetMode="External"/><Relationship Id="rId33" Type="http://schemas.openxmlformats.org/officeDocument/2006/relationships/hyperlink" Target="https://www.river.go.jp/kawabou/pc/tm?zm=12&amp;clat=34.60241096129153&amp;clon=135.76938629150393&amp;fld=0&amp;mapType=0&amp;viewGrpStg=0&amp;viewRd=1&amp;viewRW=1&amp;viewRl=1&amp;viewRn=1&amp;viewPoint=1&amp;ext=0&amp;itmkndCd=200&amp;scamId=107425042&amp;ownCd=7425&amp;sysCamId=7425042" TargetMode="External"/><Relationship Id="rId38" Type="http://schemas.openxmlformats.org/officeDocument/2006/relationships/hyperlink" Target="https://www.river.go.jp/kawabou/pc/tm?zm=12&amp;clat=34.56934097133008&amp;clon=135.76423645019534&amp;fld=0&amp;mapType=0&amp;viewGrpStg=0&amp;viewRd=1&amp;viewRW=1&amp;viewRl=1&amp;viewRn=1&amp;viewPoint=1&amp;ext=0&amp;ofcCd=7425&amp;itmkndCd=4&amp;obsCd=145" TargetMode="External"/><Relationship Id="rId59" Type="http://schemas.openxmlformats.org/officeDocument/2006/relationships/hyperlink" Target="https://www.river.go.jp/kawabou/pc/tm?zm=12&amp;clat=34.53965157244904&amp;clon=135.794792175293&amp;fld=0&amp;mapType=0&amp;viewGrpStg=0&amp;viewRd=1&amp;viewRW=1&amp;viewRl=1&amp;viewRn=1&amp;viewPoint=1&amp;ext=0&amp;ofcCd=7425&amp;itmkndCd=4&amp;obsCd=119" TargetMode="External"/><Relationship Id="rId103" Type="http://schemas.openxmlformats.org/officeDocument/2006/relationships/hyperlink" Target="https://www.river.go.jp/kawabou/pc/tm?zm=14&amp;clat=34.362143106071905&amp;clon=135.72475433349612&amp;fld=0&amp;mapType=0&amp;viewGrpStg=0&amp;viewRd=1&amp;viewRW=1&amp;viewRl=1&amp;viewRn=1&amp;viewPoint=1&amp;ext=0&amp;ofcCd=7425&amp;itmkndCd=4&amp;obsCd=125" TargetMode="External"/><Relationship Id="rId108" Type="http://schemas.openxmlformats.org/officeDocument/2006/relationships/hyperlink" Target="https://www.river.go.jp/kawabou/pc/tm?zm=13&amp;clat=34.06787617820785&amp;clon=135.79874038696292&amp;fld=0&amp;mapType=0&amp;viewGrpStg=0&amp;viewRd=1&amp;viewRW=1&amp;viewRl=1&amp;viewRn=1&amp;viewPoint=1&amp;ext=0&amp;ofcCd=7425&amp;itmkndCd=4&amp;obsCd=140" TargetMode="External"/><Relationship Id="rId54" Type="http://schemas.openxmlformats.org/officeDocument/2006/relationships/hyperlink" Target="https://www.river.go.jp/kawabou/pc/tm?zm=12&amp;clat=34.51702396789498&amp;clon=135.77762603759768&amp;fld=0&amp;mapType=0&amp;viewGrpStg=0&amp;viewRd=1&amp;viewRW=1&amp;viewRl=1&amp;viewRn=1&amp;viewPoint=1&amp;ext=0&amp;ofcCd=7425&amp;itmkndCd=4&amp;obsCd=113" TargetMode="External"/><Relationship Id="rId70" Type="http://schemas.openxmlformats.org/officeDocument/2006/relationships/hyperlink" Target="https://cam.river.go.jp/cam/now/307425014.jpg" TargetMode="External"/><Relationship Id="rId75" Type="http://schemas.openxmlformats.org/officeDocument/2006/relationships/hyperlink" Target="https://cam.river.go.jp/cam/now/107425059.jpg" TargetMode="External"/><Relationship Id="rId91" Type="http://schemas.openxmlformats.org/officeDocument/2006/relationships/hyperlink" Target="https://cam.river.go.jp/cam/now/107425068.jpg" TargetMode="External"/><Relationship Id="rId96" Type="http://schemas.openxmlformats.org/officeDocument/2006/relationships/hyperlink" Target="https://www.river.go.jp/kawabou/pc/tm?zm=12&amp;clat=34.34343606848294&amp;clon=135.8878326416016&amp;fld=0&amp;mapType=0&amp;viewGrpStg=0&amp;viewRd=1&amp;viewRW=1&amp;viewRl=1&amp;viewRn=1&amp;viewPoint=1&amp;ext=0&amp;ofcCd=22077&amp;itmkndCd=4&amp;obsCd=4" TargetMode="External"/><Relationship Id="rId1" Type="http://schemas.openxmlformats.org/officeDocument/2006/relationships/hyperlink" Target="https://www.river.go.jp/kawabou/pc/tm?zm=12&amp;clat=34.68460486483024&amp;clon=135.80818176269534&amp;fld=0&amp;mapType=0&amp;viewGrpStg=0&amp;viewRd=1&amp;viewRW=1&amp;viewRl=1&amp;viewRn=1&amp;viewPoint=1&amp;ext=0&amp;ofcCd=7425&amp;itmkndCd=4&amp;obsCd=135" TargetMode="External"/><Relationship Id="rId6" Type="http://schemas.openxmlformats.org/officeDocument/2006/relationships/hyperlink" Target="https://www.river.go.jp/kawabou/pc/tm?zm=12&amp;clat=34.64055228473684&amp;clon=135.81024169921878&amp;fld=0&amp;mapType=0&amp;viewGrpStg=0&amp;viewRd=1&amp;viewRW=1&amp;viewRl=1&amp;viewRn=1&amp;viewPoint=1&amp;ext=0&amp;ofcCd=7425&amp;itmkndCd=4&amp;obsCd=132" TargetMode="External"/><Relationship Id="rId23" Type="http://schemas.openxmlformats.org/officeDocument/2006/relationships/hyperlink" Target="https://cam.river.go.jp/cam/now/cctv_290009_61C02755.jpg" TargetMode="External"/><Relationship Id="rId28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7425&amp;itmkndCd=4&amp;obsCd=106" TargetMode="External"/><Relationship Id="rId49" Type="http://schemas.openxmlformats.org/officeDocument/2006/relationships/hyperlink" Target="https://www.river.go.jp/kawabou/pc/tm?zm=12&amp;clat=34.557466483188996&amp;clon=135.76560974121097&amp;fld=0&amp;mapType=0&amp;viewGrpStg=0&amp;viewRd=1&amp;viewRW=1&amp;viewRl=1&amp;viewRn=1&amp;viewPoint=1&amp;ext=0&amp;ofcCd=7425&amp;itmkndCd=4&amp;obsCd=117" TargetMode="External"/><Relationship Id="rId114" Type="http://schemas.openxmlformats.org/officeDocument/2006/relationships/hyperlink" Target="https://cam.river.go.jp/cam/now/122069015.jpg" TargetMode="External"/><Relationship Id="rId119" Type="http://schemas.openxmlformats.org/officeDocument/2006/relationships/hyperlink" Target="https://cam.river.go.jp/cam/now/307425008.jpg" TargetMode="External"/><Relationship Id="rId10" Type="http://schemas.openxmlformats.org/officeDocument/2006/relationships/hyperlink" Target="https://cam.river.go.jp/cam/now/107425005.jpg" TargetMode="External"/><Relationship Id="rId31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7425&amp;itmkndCd=4&amp;obsCd=104" TargetMode="External"/><Relationship Id="rId44" Type="http://schemas.openxmlformats.org/officeDocument/2006/relationships/hyperlink" Target="https://www.river.go.jp/kawabou/pc/tm?zm=12&amp;clat=34.5639693890783&amp;clon=135.78071594238284&amp;fld=0&amp;mapType=0&amp;viewGrpStg=0&amp;viewRd=1&amp;viewRW=1&amp;viewRl=1&amp;viewRn=1&amp;viewPoint=1&amp;ext=0&amp;ofcCd=22069&amp;itmkndCd=4&amp;obsCd=6" TargetMode="External"/><Relationship Id="rId52" Type="http://schemas.openxmlformats.org/officeDocument/2006/relationships/hyperlink" Target="https://cam.river.go.jp/cam/now/307425006.jpg" TargetMode="External"/><Relationship Id="rId60" Type="http://schemas.openxmlformats.org/officeDocument/2006/relationships/hyperlink" Target="https://cam.river.go.jp/cam/now/107425025.jpg" TargetMode="External"/><Relationship Id="rId65" Type="http://schemas.openxmlformats.org/officeDocument/2006/relationships/hyperlink" Target="https://cam.river.go.jp/cam/now/cctv_290009_61C04372.jpg" TargetMode="External"/><Relationship Id="rId73" Type="http://schemas.openxmlformats.org/officeDocument/2006/relationships/hyperlink" Target="https://cam.river.go.jp/cam/now/107425058.jpg" TargetMode="External"/><Relationship Id="rId78" Type="http://schemas.openxmlformats.org/officeDocument/2006/relationships/hyperlink" Target="https://www.river.go.jp/kawabou/pc/tm?zm=12&amp;clat=34.51872125149355&amp;clon=135.88611602783206&amp;fld=0&amp;mapType=0&amp;viewGrpStg=0&amp;viewRd=1&amp;viewRW=1&amp;viewRl=1&amp;viewRn=1&amp;viewPoint=1&amp;ext=0&amp;ofcCd=7425&amp;itmkndCd=4&amp;obsCd=121" TargetMode="External"/><Relationship Id="rId81" Type="http://schemas.openxmlformats.org/officeDocument/2006/relationships/hyperlink" Target="https://cam.river.go.jp/cam/now/107425037.jpg" TargetMode="External"/><Relationship Id="rId86" Type="http://schemas.openxmlformats.org/officeDocument/2006/relationships/hyperlink" Target="https://cam.river.go.jp/cam/now/cctv_290009_61C03317.jpg" TargetMode="External"/><Relationship Id="rId94" Type="http://schemas.openxmlformats.org/officeDocument/2006/relationships/hyperlink" Target="https://www.river.go.jp/kawabou/pc/tm?zm=12&amp;clat=34.37376204215178&amp;clon=135.95134735107425&amp;fld=0&amp;mapType=0&amp;viewGrpStg=0&amp;viewRd=1&amp;viewRW=1&amp;viewRl=1&amp;viewRn=1&amp;viewPoint=1&amp;ext=0&amp;ofcCd=7425&amp;itmkndCd=4&amp;obsCd=156" TargetMode="External"/><Relationship Id="rId99" Type="http://schemas.openxmlformats.org/officeDocument/2006/relationships/hyperlink" Target="https://www.river.go.jp/kawabou/pc/tm?zm=12&amp;clat=34.34343606848294&amp;clon=135.8878326416016&amp;fld=0&amp;mapType=0&amp;viewGrpStg=0&amp;viewRd=1&amp;viewRW=1&amp;viewRl=1&amp;viewRn=1&amp;viewPoint=1&amp;ext=0&amp;ofcCd=7425&amp;itmkndCd=4&amp;obsCd=158" TargetMode="External"/><Relationship Id="rId101" Type="http://schemas.openxmlformats.org/officeDocument/2006/relationships/hyperlink" Target="https://www.river.go.jp/kawabou/pc/tm?zm=13&amp;clat=34.18212773198446&amp;clon=135.7644081115723&amp;fld=0&amp;mapType=0&amp;viewGrpStg=0&amp;viewRd=1&amp;viewRW=1&amp;viewRl=1&amp;viewRn=1&amp;viewPoint=1&amp;ext=0&amp;ofcCd=7425&amp;itmkndCd=4&amp;obsCd=139" TargetMode="External"/><Relationship Id="rId4" Type="http://schemas.openxmlformats.org/officeDocument/2006/relationships/hyperlink" Target="https://www.river.go.jp/kawabou/pc/tm?zm=12&amp;clat=34.689221&amp;clon=135.82755&amp;fld=0&amp;mapType=0&amp;viewGrpStg=0&amp;viewRd=1&amp;viewRW=1&amp;viewRl=1&amp;viewRn=1&amp;viewPoint=1&amp;ext=0&amp;ofcCd=7425&amp;itmkndCd=4&amp;obsCd=102" TargetMode="External"/><Relationship Id="rId9" Type="http://schemas.openxmlformats.org/officeDocument/2006/relationships/hyperlink" Target="https://www.river.go.jp/kawabou/pc/tm?zm=12&amp;clat=34.64055228473684&amp;clon=135.81024169921878&amp;fld=0&amp;mapType=0&amp;viewGrpStg=0&amp;viewRd=1&amp;viewRW=1&amp;viewRl=1&amp;viewRn=1&amp;viewPoint=1&amp;ext=0&amp;ofcCd=7425&amp;itmkndCd=4&amp;obsCd=143" TargetMode="External"/><Relationship Id="rId13" Type="http://schemas.openxmlformats.org/officeDocument/2006/relationships/hyperlink" Target="https://www.river.go.jp/kawabou/pc/tm?zm=12&amp;clat=34.64563646992299&amp;clon=135.91495513916018&amp;fld=0&amp;mapType=0&amp;viewGrpStg=0&amp;viewRd=1&amp;viewRW=1&amp;viewRl=1&amp;viewRn=1&amp;viewPoint=1&amp;ext=0&amp;ofcCd=7425&amp;itmkndCd=4&amp;obsCd=130" TargetMode="External"/><Relationship Id="rId18" Type="http://schemas.openxmlformats.org/officeDocument/2006/relationships/hyperlink" Target="https://cam.river.go.jp/cam/now/107425018.jpg" TargetMode="External"/><Relationship Id="rId39" Type="http://schemas.openxmlformats.org/officeDocument/2006/relationships/hyperlink" Target="https://www.river.go.jp/kawabou/pc/tm?zm=12&amp;clat=34.496087960638086&amp;clon=135.76423645019534&amp;fld=0&amp;mapType=0&amp;viewGrpStg=0&amp;viewRd=1&amp;viewRW=1&amp;viewRl=1&amp;viewRn=1&amp;viewPoint=1&amp;ext=0&amp;ofcCd=7425&amp;itmkndCd=4&amp;obsCd=146" TargetMode="External"/><Relationship Id="rId109" Type="http://schemas.openxmlformats.org/officeDocument/2006/relationships/hyperlink" Target="https://www.river.go.jp/kawabou/pc/tm?zm=13&amp;clat=34.06787617820785&amp;clon=135.79874038696292&amp;fld=0&amp;mapType=0&amp;viewGrpStg=0&amp;viewRd=1&amp;viewRW=1&amp;viewRl=1&amp;viewRn=1&amp;viewPoint=1&amp;ext=0&amp;ofcCd=7425&amp;itmkndCd=4&amp;obsCd=141" TargetMode="External"/><Relationship Id="rId34" Type="http://schemas.openxmlformats.org/officeDocument/2006/relationships/hyperlink" Target="https://www.river.go.jp/kawabou/pc/tm?zm=12&amp;clat=34.60241096129153&amp;clon=135.76938629150393&amp;fld=0&amp;mapType=0&amp;viewGrpStg=0&amp;viewRd=1&amp;viewRW=1&amp;viewRl=1&amp;viewRn=1&amp;viewPoint=1&amp;ext=0&amp;ofcCd=22069&amp;itmkndCd=4&amp;obsCd=5" TargetMode="External"/><Relationship Id="rId50" Type="http://schemas.openxmlformats.org/officeDocument/2006/relationships/hyperlink" Target="https://cam.river.go.jp/cam/now/307425005.jpg" TargetMode="External"/><Relationship Id="rId55" Type="http://schemas.openxmlformats.org/officeDocument/2006/relationships/hyperlink" Target="https://www.river.go.jp/kawabou/pc/tm?zm=12&amp;clat=34.51702396789498&amp;clon=135.77762603759768&amp;fld=0&amp;mapType=0&amp;viewGrpStg=0&amp;viewRd=1&amp;viewRW=1&amp;viewRl=1&amp;viewRn=1&amp;viewPoint=1&amp;ext=0&amp;ofcCd=7425&amp;itmkndCd=4&amp;obsCd=114" TargetMode="External"/><Relationship Id="rId76" Type="http://schemas.openxmlformats.org/officeDocument/2006/relationships/hyperlink" Target="https://www.river.go.jp/kawabou/pc/tm?zm=12&amp;clat=34.51872125149355&amp;clon=135.88611602783206&amp;fld=0&amp;mapType=0&amp;viewGrpStg=0&amp;viewRd=1&amp;viewRW=1&amp;viewRl=1&amp;viewRn=1&amp;viewPoint=1&amp;ext=0&amp;ofcCd=7425&amp;itmkndCd=4&amp;obsCd=120" TargetMode="External"/><Relationship Id="rId97" Type="http://schemas.openxmlformats.org/officeDocument/2006/relationships/hyperlink" Target="https://www.river.go.jp/kawabou/pc/tm?zm=12&amp;clat=34.34343606848294&amp;clon=135.8878326416016&amp;fld=0&amp;mapType=0&amp;viewGrpStg=0&amp;viewRd=1&amp;viewRW=1&amp;viewRl=1&amp;viewRn=1&amp;viewPoint=1&amp;ext=0&amp;ofcCd=7425&amp;itmkndCd=4&amp;obsCd=157" TargetMode="External"/><Relationship Id="rId104" Type="http://schemas.openxmlformats.org/officeDocument/2006/relationships/hyperlink" Target="https://www.river.go.jp/kawabou/pc/tm?zm=13&amp;clat=34.33067887679474&amp;clon=135.7479286193848&amp;fld=0&amp;mapType=0&amp;viewGrpStg=0&amp;viewRd=1&amp;viewRW=1&amp;viewRl=1&amp;viewRn=1&amp;viewPoint=1&amp;ext=0&amp;ofcCd=7425&amp;itmkndCd=4&amp;obsCd=159" TargetMode="External"/><Relationship Id="rId7" Type="http://schemas.openxmlformats.org/officeDocument/2006/relationships/hyperlink" Target="https://cam.river.go.jp/cam/now/107425004.jpg" TargetMode="External"/><Relationship Id="rId71" Type="http://schemas.openxmlformats.org/officeDocument/2006/relationships/hyperlink" Target="https://www.river.go.jp/kawabou/pc/tm?zm=12&amp;clat=34.51872125149355&amp;clon=135.74981689453128&amp;fld=0&amp;mapType=0&amp;viewGrpStg=0&amp;viewRd=1&amp;viewRW=1&amp;viewRl=1&amp;viewRn=1&amp;viewPoint=1&amp;ext=0&amp;ofcCd=7425&amp;itmkndCd=4&amp;obsCd=112" TargetMode="External"/><Relationship Id="rId92" Type="http://schemas.openxmlformats.org/officeDocument/2006/relationships/hyperlink" Target="https://www.river.go.jp/kawabou/pc/tm?zm=12&amp;clat=34.37376204215178&amp;clon=135.95134735107425&amp;fld=0&amp;mapType=0&amp;viewGrpStg=0&amp;viewRd=1&amp;viewRW=1&amp;viewRl=1&amp;viewRn=1&amp;viewPoint=1&amp;ext=0&amp;ofcCd=7425&amp;itmkndCd=4&amp;obsCd=123" TargetMode="External"/><Relationship Id="rId2" Type="http://schemas.openxmlformats.org/officeDocument/2006/relationships/hyperlink" Target="https://www.river.go.jp/kawabou/pc/tm?zm=12&amp;clat=34.68460486483024&amp;clon=135.80818176269534&amp;fld=0&amp;mapType=0&amp;viewGrpStg=0&amp;viewRd=1&amp;viewRW=1&amp;viewRl=1&amp;viewRn=1&amp;viewPoint=1&amp;ext=0&amp;ofcCd=7425&amp;itmkndCd=4&amp;obsCd=101" TargetMode="External"/><Relationship Id="rId29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7425&amp;itmkndCd=4&amp;obsCd=144" TargetMode="External"/><Relationship Id="rId24" Type="http://schemas.openxmlformats.org/officeDocument/2006/relationships/hyperlink" Target="https://www.river.go.jp/kawabou/pc/tm?zm=12&amp;clat=34.66116954859759&amp;clon=135.75222015380862&amp;fld=0&amp;mapType=0&amp;viewGrpStg=0&amp;viewRd=1&amp;viewRW=1&amp;viewRl=1&amp;viewRn=1&amp;viewPoint=1&amp;ext=0&amp;ofcCd=22069&amp;itmkndCd=4&amp;obsCd=2" TargetMode="External"/><Relationship Id="rId40" Type="http://schemas.openxmlformats.org/officeDocument/2006/relationships/hyperlink" Target="https://www.river.go.jp/kawabou/pc/tm?zm=12&amp;clat=34.496087960638086&amp;clon=135.76423645019534&amp;fld=0&amp;mapType=0&amp;viewGrpStg=0&amp;viewRd=1&amp;viewRW=1&amp;viewRl=1&amp;viewRn=1&amp;viewPoint=1&amp;ext=0&amp;ofcCd=7425&amp;itmkndCd=4&amp;obsCd=108" TargetMode="External"/><Relationship Id="rId45" Type="http://schemas.openxmlformats.org/officeDocument/2006/relationships/hyperlink" Target="https://www.river.go.jp/kawabou/pc/tm?zm=12&amp;clat=34.5639693890783&amp;clon=135.78071594238284&amp;fld=0&amp;mapType=0&amp;viewGrpStg=0&amp;viewRd=1&amp;viewRW=1&amp;viewRl=1&amp;viewRn=1&amp;viewPoint=1&amp;ext=0&amp;ofcCd=7425&amp;itmkndCd=4&amp;obsCd=109" TargetMode="External"/><Relationship Id="rId66" Type="http://schemas.openxmlformats.org/officeDocument/2006/relationships/hyperlink" Target="https://cam.river.go.jp/cam/now/107425051.jpg" TargetMode="External"/><Relationship Id="rId87" Type="http://schemas.openxmlformats.org/officeDocument/2006/relationships/hyperlink" Target="https://www.river.go.jp/kawabou/pc/tm?zm=12&amp;clat=34.472599425831376&amp;clon=135.90911865234378&amp;fld=0&amp;mapType=0&amp;viewGrpStg=0&amp;viewRd=1&amp;viewRW=1&amp;viewRl=1&amp;viewRn=1&amp;viewPoint=1&amp;ext=0&amp;ofcCd=7425&amp;itmkndCd=4&amp;obsCd=155" TargetMode="External"/><Relationship Id="rId110" Type="http://schemas.openxmlformats.org/officeDocument/2006/relationships/hyperlink" Target="https://www.river.go.jp/kawabou/pc/tm?zm=13&amp;clat=34.06787617820785&amp;clon=135.79874038696292&amp;fld=0&amp;mapType=0&amp;viewGrpStg=0&amp;viewRd=1&amp;viewRW=1&amp;viewRl=1&amp;viewRn=1&amp;viewPoint=1&amp;ext=0&amp;ofcCd=7425&amp;itmkndCd=4&amp;obsCd=142" TargetMode="External"/><Relationship Id="rId115" Type="http://schemas.openxmlformats.org/officeDocument/2006/relationships/hyperlink" Target="https://cam.river.go.jp/cam/now/107425061.jpg" TargetMode="External"/><Relationship Id="rId61" Type="http://schemas.openxmlformats.org/officeDocument/2006/relationships/hyperlink" Target="https://www.river.go.jp/kawabou/pc/tm?zm=12&amp;clat=34.53965157244904&amp;clon=135.794792175293&amp;fld=0&amp;mapType=0&amp;viewGrpStg=0&amp;viewRd=1&amp;viewRW=1&amp;viewRl=1&amp;viewRn=1&amp;viewPoint=1&amp;ext=0&amp;ofcCd=7425&amp;itmkndCd=4&amp;obsCd=151" TargetMode="External"/><Relationship Id="rId82" Type="http://schemas.openxmlformats.org/officeDocument/2006/relationships/hyperlink" Target="https://www.river.go.jp/kawabou/pc/tm?zm=12&amp;clat=34.4980686189572&amp;clon=135.93555450439456&amp;fld=0&amp;mapType=0&amp;viewGrpStg=0&amp;viewRd=1&amp;viewRW=1&amp;viewRl=1&amp;viewRn=1&amp;viewPoint=1&amp;ext=0&amp;ofcCd=22067&amp;itmkndCd=4&amp;obsCd=1" TargetMode="External"/><Relationship Id="rId19" Type="http://schemas.openxmlformats.org/officeDocument/2006/relationships/hyperlink" Target="https://www.river.go.jp/kawabou/pc/tm?zm=12&amp;clat=34.650437914135566&amp;clon=135.97984313964847&amp;fld=0&amp;mapType=0&amp;viewGrpStg=0&amp;viewRd=1&amp;viewRW=1&amp;viewRl=1&amp;viewRn=1&amp;viewPoint=1&amp;ext=0&amp;ofcCd=22067&amp;itmkndCd=4&amp;obsCd=6" TargetMode="External"/><Relationship Id="rId14" Type="http://schemas.openxmlformats.org/officeDocument/2006/relationships/hyperlink" Target="https://cam.river.go.jp/cam/now/107425014.jpg" TargetMode="External"/><Relationship Id="rId30" Type="http://schemas.openxmlformats.org/officeDocument/2006/relationships/hyperlink" Target="https://cam.river.go.jp/cam/now/107425028.jpg" TargetMode="External"/><Relationship Id="rId35" Type="http://schemas.openxmlformats.org/officeDocument/2006/relationships/hyperlink" Target="https://www.river.go.jp/kawabou/pc/tm?zm=12&amp;clat=34.60241096129153&amp;clon=135.76938629150393&amp;fld=0&amp;mapType=0&amp;viewGrpStg=0&amp;viewRd=1&amp;viewRW=1&amp;viewRl=1&amp;viewRn=1&amp;viewPoint=1&amp;ext=0&amp;ofcCd=7425&amp;itmkndCd=4&amp;obsCd=138" TargetMode="External"/><Relationship Id="rId56" Type="http://schemas.openxmlformats.org/officeDocument/2006/relationships/hyperlink" Target="https://www.river.go.jp/kawabou/pc/tm?zm=12&amp;clat=34.51702396789498&amp;clon=135.77762603759768&amp;fld=0&amp;mapType=0&amp;viewGrpStg=0&amp;viewRd=1&amp;viewRW=1&amp;viewRl=1&amp;viewRn=1&amp;viewPoint=1&amp;ext=0&amp;ofcCd=7425&amp;itmkndCd=4&amp;obsCd=116" TargetMode="External"/><Relationship Id="rId77" Type="http://schemas.openxmlformats.org/officeDocument/2006/relationships/hyperlink" Target="https://cam.river.go.jp/cam/now/307425011.jpg" TargetMode="External"/><Relationship Id="rId100" Type="http://schemas.openxmlformats.org/officeDocument/2006/relationships/hyperlink" Target="https://www.river.go.jp/kawabou/pc/tm?zm=13&amp;clat=34.18212773198446&amp;clon=135.7644081115723&amp;fld=0&amp;mapType=0&amp;viewGrpStg=0&amp;viewRd=1&amp;viewRW=1&amp;viewRl=1&amp;viewRn=1&amp;viewPoint=1&amp;ext=0&amp;ofcCd=22077&amp;itmkndCd=4&amp;obsCd=7" TargetMode="External"/><Relationship Id="rId105" Type="http://schemas.openxmlformats.org/officeDocument/2006/relationships/hyperlink" Target="https://www.river.go.jp/kawabou/pc/tm?zm=13&amp;clat=34.31394984163214&amp;clon=135.76526641845706&amp;fld=0&amp;mapType=0&amp;viewGrpStg=0&amp;viewRd=1&amp;viewRW=1&amp;viewRl=1&amp;viewRn=1&amp;viewPoint=1&amp;ext=0&amp;ofcCd=22087&amp;itmkndCd=4&amp;obsCd=13" TargetMode="External"/><Relationship Id="rId8" Type="http://schemas.openxmlformats.org/officeDocument/2006/relationships/hyperlink" Target="https://www.river.go.jp/kawabou/pc/tm?zm=12&amp;clat=34.64055228473684&amp;clon=135.81024169921878&amp;fld=0&amp;mapType=0&amp;viewGrpStg=0&amp;viewRd=1&amp;viewRW=1&amp;viewRl=1&amp;viewRn=1&amp;viewPoint=1&amp;ext=0&amp;ofcCd=7425&amp;itmkndCd=4&amp;obsCd=134" TargetMode="External"/><Relationship Id="rId51" Type="http://schemas.openxmlformats.org/officeDocument/2006/relationships/hyperlink" Target="https://www.river.go.jp/kawabou/pc/tm?zm=12&amp;clat=34.557466483188996&amp;clon=135.76560974121097&amp;fld=0&amp;mapType=0&amp;viewGrpStg=0&amp;viewRd=1&amp;viewRW=1&amp;viewRl=1&amp;viewRn=1&amp;viewPoint=1&amp;ext=0&amp;ofcCd=7425&amp;itmkndCd=4&amp;obsCd=110" TargetMode="External"/><Relationship Id="rId72" Type="http://schemas.openxmlformats.org/officeDocument/2006/relationships/hyperlink" Target="https://www.river.go.jp/kawabou/pc/tm?zm=12&amp;clat=34.4575&amp;clon=135.7638889&amp;fld=0&amp;mapType=0&amp;viewGrpStg=0&amp;viewRd=1&amp;viewRW=1&amp;viewRl=1&amp;viewRn=1&amp;viewPoint=1&amp;ext=0&amp;ofcCd=7425&amp;itmkndCd=4&amp;obsCd=150" TargetMode="External"/><Relationship Id="rId93" Type="http://schemas.openxmlformats.org/officeDocument/2006/relationships/hyperlink" Target="https://cam.river.go.jp/cam/now/307425016.jpg" TargetMode="External"/><Relationship Id="rId98" Type="http://schemas.openxmlformats.org/officeDocument/2006/relationships/hyperlink" Target="https://cam.river.go.jp/cam/now/307425015.jpg" TargetMode="External"/><Relationship Id="rId3" Type="http://schemas.openxmlformats.org/officeDocument/2006/relationships/hyperlink" Target="https://cam.river.go.jp/cam/now/307425002.jpg" TargetMode="External"/><Relationship Id="rId25" Type="http://schemas.openxmlformats.org/officeDocument/2006/relationships/hyperlink" Target="https://cam.river.go.jp/cam/now/cctv_290009_61C02772.jpg" TargetMode="External"/><Relationship Id="rId46" Type="http://schemas.openxmlformats.org/officeDocument/2006/relationships/hyperlink" Target="https://www.river.go.jp/kawabou/pc/tm?zm=12&amp;clat=34.5639693890783&amp;clon=135.78071594238284&amp;fld=0&amp;mapType=0&amp;viewGrpStg=0&amp;viewRd=1&amp;viewRW=1&amp;viewRl=1&amp;viewRn=1&amp;viewPoint=1&amp;ext=0&amp;ofcCd=7425&amp;itmkndCd=4&amp;obsCd=148" TargetMode="External"/><Relationship Id="rId67" Type="http://schemas.openxmlformats.org/officeDocument/2006/relationships/hyperlink" Target="https://www.river.go.jp/kawabou/pc/tm?zm=12&amp;clat=34.587714812745794&amp;clon=135.76904296875003&amp;fld=0&amp;mapType=0&amp;viewGrpStg=0&amp;viewRd=1&amp;viewRW=1&amp;viewRl=1&amp;viewRn=1&amp;viewPoint=1&amp;ext=0&amp;ofcCd=7425&amp;itmkndCd=4&amp;obsCd=152" TargetMode="External"/><Relationship Id="rId116" Type="http://schemas.openxmlformats.org/officeDocument/2006/relationships/hyperlink" Target="https://cam.river.go.jp/cam/now/307425007.jpg" TargetMode="External"/><Relationship Id="rId20" Type="http://schemas.openxmlformats.org/officeDocument/2006/relationships/hyperlink" Target="https://www.river.go.jp/kawabou/pc/tm?zm=12&amp;clat=34.650437914135566&amp;clon=135.97984313964847&amp;fld=0&amp;mapType=0&amp;viewGrpStg=0&amp;viewRd=1&amp;viewRW=1&amp;viewRl=1&amp;viewRn=1&amp;viewPoint=1&amp;ext=0&amp;ofcCd=22067&amp;itmkndCd=4&amp;obsCd=11" TargetMode="External"/><Relationship Id="rId41" Type="http://schemas.openxmlformats.org/officeDocument/2006/relationships/hyperlink" Target="https://cam.river.go.jp/cam/now/107425031.jpg" TargetMode="External"/><Relationship Id="rId62" Type="http://schemas.openxmlformats.org/officeDocument/2006/relationships/hyperlink" Target="https://www.river.go.jp/kawabou/pc/tm?zm=12&amp;clat=34.587714812745794&amp;clon=135.76904296875003&amp;fld=0&amp;mapType=0&amp;viewGrpStg=0&amp;viewRd=1&amp;viewRW=1&amp;viewRl=1&amp;viewRn=1&amp;viewPoint=1&amp;ext=0&amp;ofcCd=7425&amp;itmkndCd=4&amp;obsCd=149" TargetMode="External"/><Relationship Id="rId83" Type="http://schemas.openxmlformats.org/officeDocument/2006/relationships/hyperlink" Target="https://www.river.go.jp/kawabou/pc/tm?zm=12&amp;clat=34.4980686189572&amp;clon=135.93555450439456&amp;fld=0&amp;mapType=0&amp;viewGrpStg=0&amp;viewRd=1&amp;viewRW=1&amp;viewRl=1&amp;viewRn=1&amp;viewPoint=1&amp;ext=0&amp;ofcCd=22067&amp;itmkndCd=4&amp;obsCd=2" TargetMode="External"/><Relationship Id="rId88" Type="http://schemas.openxmlformats.org/officeDocument/2006/relationships/hyperlink" Target="https://cam.river.go.jp/cam/now/107425054.jpg" TargetMode="External"/><Relationship Id="rId111" Type="http://schemas.openxmlformats.org/officeDocument/2006/relationships/hyperlink" Target="https://cam.river.go.jp/cam/now/307425004.jpg" TargetMode="External"/><Relationship Id="rId15" Type="http://schemas.openxmlformats.org/officeDocument/2006/relationships/hyperlink" Target="https://www.river.go.jp/kawabou/pc/tm?zm=12&amp;clat=34.64563646992299&amp;clon=135.91495513916018&amp;fld=0&amp;mapType=0&amp;viewGrpStg=0&amp;viewRd=1&amp;viewRW=1&amp;viewRl=1&amp;viewRn=1&amp;viewPoint=1&amp;ext=0&amp;ofcCd=7425&amp;itmkndCd=4&amp;obsCd=127" TargetMode="External"/><Relationship Id="rId36" Type="http://schemas.openxmlformats.org/officeDocument/2006/relationships/hyperlink" Target="https://cam.river.go.jp/cam/now/307425012.jpg" TargetMode="External"/><Relationship Id="rId57" Type="http://schemas.openxmlformats.org/officeDocument/2006/relationships/hyperlink" Target="https://www.river.go.jp/kawabou/pc/tm?zm=12&amp;clat=34.53965157244904&amp;clon=135.794792175293&amp;fld=0&amp;mapType=0&amp;viewGrpStg=0&amp;viewRd=1&amp;viewRW=1&amp;viewRl=1&amp;viewRn=1&amp;viewPoint=1&amp;ext=0&amp;ofcCd=7425&amp;itmkndCd=4&amp;obsCd=136" TargetMode="External"/><Relationship Id="rId106" Type="http://schemas.openxmlformats.org/officeDocument/2006/relationships/hyperlink" Target="https://cam.river.go.jp/cam/now/cctv_290009_61C0284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59CD-D83F-48C9-8A85-4623FF4347BA}">
  <dimension ref="A1:L80"/>
  <sheetViews>
    <sheetView workbookViewId="0">
      <selection activeCell="B1" sqref="B1:B1048576"/>
    </sheetView>
  </sheetViews>
  <sheetFormatPr defaultRowHeight="18" x14ac:dyDescent="0.55000000000000004"/>
  <cols>
    <col min="1" max="1" width="19.75" style="2" bestFit="1" customWidth="1"/>
    <col min="2" max="2" width="12.83203125" style="2" customWidth="1"/>
    <col min="3" max="3" width="8.5" style="2" bestFit="1" customWidth="1"/>
    <col min="4" max="4" width="16.25" style="2" bestFit="1" customWidth="1"/>
    <col min="5" max="5" width="12" style="2" bestFit="1" customWidth="1"/>
    <col min="6" max="6" width="12" style="2" customWidth="1"/>
    <col min="7" max="7" width="19.08203125" style="2" bestFit="1" customWidth="1"/>
    <col min="8" max="16384" width="8.6640625" style="2"/>
  </cols>
  <sheetData>
    <row r="1" spans="1:12" x14ac:dyDescent="0.55000000000000004">
      <c r="A1" s="7" t="s">
        <v>0</v>
      </c>
      <c r="B1" s="1"/>
      <c r="C1" s="7" t="s">
        <v>1</v>
      </c>
      <c r="D1" s="7"/>
      <c r="E1" s="7" t="s">
        <v>8</v>
      </c>
      <c r="F1" s="7"/>
      <c r="G1" s="7" t="s">
        <v>2</v>
      </c>
      <c r="H1" s="7" t="s">
        <v>3</v>
      </c>
      <c r="I1" s="7"/>
      <c r="J1" s="7"/>
      <c r="K1" s="7"/>
      <c r="L1" s="2" t="s">
        <v>266</v>
      </c>
    </row>
    <row r="2" spans="1:12" x14ac:dyDescent="0.55000000000000004">
      <c r="A2" s="7"/>
      <c r="B2" s="1"/>
      <c r="C2" s="7"/>
      <c r="D2" s="7"/>
      <c r="E2" s="7"/>
      <c r="F2" s="7"/>
      <c r="G2" s="7"/>
      <c r="H2" s="2" t="s">
        <v>4</v>
      </c>
      <c r="I2" s="2" t="s">
        <v>5</v>
      </c>
      <c r="J2" s="2" t="s">
        <v>6</v>
      </c>
      <c r="K2" s="2" t="s">
        <v>7</v>
      </c>
      <c r="L2" s="2" t="s">
        <v>267</v>
      </c>
    </row>
    <row r="3" spans="1:12" x14ac:dyDescent="0.55000000000000004">
      <c r="A3" s="1" t="s">
        <v>9</v>
      </c>
      <c r="B3" s="1" t="s">
        <v>378</v>
      </c>
      <c r="C3" s="1" t="s">
        <v>10</v>
      </c>
      <c r="D3" s="1" t="s">
        <v>270</v>
      </c>
      <c r="E3" s="1" t="s">
        <v>11</v>
      </c>
      <c r="F3" s="1" t="s">
        <v>271</v>
      </c>
      <c r="G3" s="1" t="s">
        <v>12</v>
      </c>
      <c r="H3" s="1" t="s">
        <v>13</v>
      </c>
      <c r="I3" s="1" t="s">
        <v>14</v>
      </c>
      <c r="J3" s="1" t="s">
        <v>14</v>
      </c>
      <c r="K3" s="1" t="s">
        <v>15</v>
      </c>
      <c r="L3" s="2">
        <v>1</v>
      </c>
    </row>
    <row r="4" spans="1:12" x14ac:dyDescent="0.55000000000000004">
      <c r="A4" s="1" t="s">
        <v>9</v>
      </c>
      <c r="B4" s="1" t="s">
        <v>378</v>
      </c>
      <c r="C4" s="1" t="s">
        <v>16</v>
      </c>
      <c r="D4" s="1" t="s">
        <v>272</v>
      </c>
      <c r="E4" s="1" t="s">
        <v>17</v>
      </c>
      <c r="F4" s="1" t="s">
        <v>273</v>
      </c>
      <c r="G4" s="1" t="s">
        <v>18</v>
      </c>
      <c r="H4" s="1" t="s">
        <v>19</v>
      </c>
      <c r="I4" s="1" t="s">
        <v>20</v>
      </c>
      <c r="J4" s="1" t="s">
        <v>20</v>
      </c>
      <c r="K4" s="1" t="s">
        <v>21</v>
      </c>
      <c r="L4" s="2">
        <v>2</v>
      </c>
    </row>
    <row r="5" spans="1:12" x14ac:dyDescent="0.55000000000000004">
      <c r="A5" s="1" t="s">
        <v>9</v>
      </c>
      <c r="B5" s="1" t="s">
        <v>378</v>
      </c>
      <c r="C5" s="1" t="s">
        <v>22</v>
      </c>
      <c r="D5" s="1" t="s">
        <v>274</v>
      </c>
      <c r="E5" s="1" t="s">
        <v>23</v>
      </c>
      <c r="F5" s="1" t="s">
        <v>275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2">
        <v>3</v>
      </c>
    </row>
    <row r="6" spans="1:12" x14ac:dyDescent="0.55000000000000004">
      <c r="A6" s="1" t="s">
        <v>9</v>
      </c>
      <c r="B6" s="1" t="s">
        <v>378</v>
      </c>
      <c r="C6" s="1" t="s">
        <v>29</v>
      </c>
      <c r="D6" s="1" t="s">
        <v>276</v>
      </c>
      <c r="E6" s="1" t="s">
        <v>30</v>
      </c>
      <c r="F6" s="1" t="s">
        <v>277</v>
      </c>
      <c r="G6" s="1" t="s">
        <v>31</v>
      </c>
      <c r="H6" s="1" t="s">
        <v>32</v>
      </c>
      <c r="I6" s="1" t="s">
        <v>19</v>
      </c>
      <c r="J6" s="1" t="s">
        <v>19</v>
      </c>
      <c r="K6" s="1" t="s">
        <v>33</v>
      </c>
      <c r="L6" s="2">
        <v>4</v>
      </c>
    </row>
    <row r="7" spans="1:12" x14ac:dyDescent="0.55000000000000004">
      <c r="A7" s="1" t="s">
        <v>9</v>
      </c>
      <c r="B7" s="1" t="s">
        <v>378</v>
      </c>
      <c r="C7" s="1" t="s">
        <v>34</v>
      </c>
      <c r="D7" s="1" t="s">
        <v>278</v>
      </c>
      <c r="E7" s="1" t="s">
        <v>35</v>
      </c>
      <c r="F7" s="1" t="s">
        <v>279</v>
      </c>
      <c r="G7" s="1" t="s">
        <v>36</v>
      </c>
      <c r="H7" s="1" t="s">
        <v>13</v>
      </c>
      <c r="I7" s="1" t="s">
        <v>37</v>
      </c>
      <c r="J7" s="1" t="s">
        <v>37</v>
      </c>
      <c r="K7" s="1" t="s">
        <v>33</v>
      </c>
      <c r="L7" s="2">
        <v>5</v>
      </c>
    </row>
    <row r="8" spans="1:12" x14ac:dyDescent="0.55000000000000004">
      <c r="A8" s="1" t="s">
        <v>9</v>
      </c>
      <c r="B8" s="1" t="s">
        <v>378</v>
      </c>
      <c r="C8" s="1" t="s">
        <v>22</v>
      </c>
      <c r="D8" s="1" t="s">
        <v>274</v>
      </c>
      <c r="E8" s="1" t="s">
        <v>38</v>
      </c>
      <c r="F8" s="1" t="s">
        <v>275</v>
      </c>
      <c r="G8" s="1" t="s">
        <v>24</v>
      </c>
      <c r="H8" s="1"/>
      <c r="I8" s="1"/>
      <c r="J8" s="1"/>
      <c r="K8" s="1"/>
      <c r="L8" s="2">
        <v>8</v>
      </c>
    </row>
    <row r="9" spans="1:12" x14ac:dyDescent="0.55000000000000004">
      <c r="A9" s="1" t="s">
        <v>39</v>
      </c>
      <c r="B9" s="1"/>
      <c r="C9" s="1" t="s">
        <v>40</v>
      </c>
      <c r="D9" s="1" t="s">
        <v>269</v>
      </c>
      <c r="E9" s="1" t="s">
        <v>41</v>
      </c>
      <c r="F9" s="1" t="s">
        <v>268</v>
      </c>
      <c r="G9" s="1" t="s">
        <v>42</v>
      </c>
      <c r="H9" s="1"/>
      <c r="I9" s="1"/>
      <c r="J9" s="1"/>
      <c r="K9" s="1"/>
      <c r="L9" s="2">
        <v>156</v>
      </c>
    </row>
    <row r="10" spans="1:12" x14ac:dyDescent="0.55000000000000004">
      <c r="A10" s="1" t="s">
        <v>39</v>
      </c>
      <c r="B10" s="1"/>
      <c r="C10" s="1" t="s">
        <v>40</v>
      </c>
      <c r="D10" s="1" t="s">
        <v>269</v>
      </c>
      <c r="E10" s="1" t="s">
        <v>43</v>
      </c>
      <c r="F10" s="1" t="s">
        <v>280</v>
      </c>
      <c r="G10" s="1" t="s">
        <v>44</v>
      </c>
      <c r="H10" s="1"/>
      <c r="I10" s="1"/>
      <c r="J10" s="1"/>
      <c r="K10" s="1"/>
      <c r="L10" s="2">
        <v>158</v>
      </c>
    </row>
    <row r="11" spans="1:12" x14ac:dyDescent="0.55000000000000004">
      <c r="A11" s="1" t="s">
        <v>9</v>
      </c>
      <c r="B11" s="1" t="s">
        <v>378</v>
      </c>
      <c r="C11" s="1" t="s">
        <v>45</v>
      </c>
      <c r="D11" s="1" t="s">
        <v>281</v>
      </c>
      <c r="E11" s="1" t="s">
        <v>46</v>
      </c>
      <c r="F11" s="1" t="s">
        <v>282</v>
      </c>
      <c r="G11" s="1" t="s">
        <v>47</v>
      </c>
      <c r="H11" s="1" t="s">
        <v>48</v>
      </c>
      <c r="I11" s="1" t="s">
        <v>20</v>
      </c>
      <c r="J11" s="1" t="s">
        <v>20</v>
      </c>
      <c r="K11" s="1" t="s">
        <v>21</v>
      </c>
      <c r="L11" s="2">
        <v>29</v>
      </c>
    </row>
    <row r="12" spans="1:12" x14ac:dyDescent="0.55000000000000004">
      <c r="A12" s="1" t="s">
        <v>9</v>
      </c>
      <c r="B12" s="1" t="s">
        <v>378</v>
      </c>
      <c r="C12" s="1" t="s">
        <v>49</v>
      </c>
      <c r="D12" s="1" t="s">
        <v>283</v>
      </c>
      <c r="E12" s="1" t="s">
        <v>50</v>
      </c>
      <c r="F12" s="1" t="s">
        <v>284</v>
      </c>
      <c r="G12" s="1" t="s">
        <v>51</v>
      </c>
      <c r="H12" s="1" t="s">
        <v>52</v>
      </c>
      <c r="I12" s="1" t="s">
        <v>15</v>
      </c>
      <c r="J12" s="1" t="s">
        <v>15</v>
      </c>
      <c r="K12" s="1" t="s">
        <v>53</v>
      </c>
      <c r="L12" s="2">
        <v>6</v>
      </c>
    </row>
    <row r="13" spans="1:12" x14ac:dyDescent="0.55000000000000004">
      <c r="A13" s="1" t="s">
        <v>9</v>
      </c>
      <c r="B13" s="1" t="s">
        <v>378</v>
      </c>
      <c r="C13" s="1" t="s">
        <v>49</v>
      </c>
      <c r="D13" s="1" t="s">
        <v>283</v>
      </c>
      <c r="E13" s="1" t="s">
        <v>54</v>
      </c>
      <c r="F13" s="1" t="s">
        <v>285</v>
      </c>
      <c r="G13" s="1" t="s">
        <v>55</v>
      </c>
      <c r="H13" s="1"/>
      <c r="I13" s="1"/>
      <c r="J13" s="1"/>
      <c r="K13" s="1"/>
      <c r="L13" s="2">
        <v>7</v>
      </c>
    </row>
    <row r="14" spans="1:12" x14ac:dyDescent="0.55000000000000004">
      <c r="A14" s="1" t="s">
        <v>56</v>
      </c>
      <c r="B14" s="1"/>
      <c r="C14" s="1" t="s">
        <v>57</v>
      </c>
      <c r="D14" s="1" t="s">
        <v>286</v>
      </c>
      <c r="E14" s="1" t="s">
        <v>58</v>
      </c>
      <c r="F14" s="1" t="s">
        <v>287</v>
      </c>
      <c r="G14" s="1" t="s">
        <v>59</v>
      </c>
      <c r="H14" s="1"/>
      <c r="I14" s="1"/>
      <c r="J14" s="1"/>
      <c r="K14" s="1"/>
      <c r="L14" s="2">
        <v>154</v>
      </c>
    </row>
    <row r="15" spans="1:12" x14ac:dyDescent="0.55000000000000004">
      <c r="A15" s="1" t="s">
        <v>39</v>
      </c>
      <c r="B15" s="1"/>
      <c r="C15" s="1" t="s">
        <v>40</v>
      </c>
      <c r="D15" s="1" t="s">
        <v>269</v>
      </c>
      <c r="E15" s="1" t="s">
        <v>60</v>
      </c>
      <c r="F15" s="1" t="s">
        <v>288</v>
      </c>
      <c r="G15" s="1" t="s">
        <v>61</v>
      </c>
      <c r="H15" s="1"/>
      <c r="I15" s="1"/>
      <c r="J15" s="1"/>
      <c r="K15" s="1"/>
      <c r="L15" s="2">
        <v>157</v>
      </c>
    </row>
    <row r="16" spans="1:12" x14ac:dyDescent="0.55000000000000004">
      <c r="A16" s="1" t="s">
        <v>62</v>
      </c>
      <c r="B16" s="1" t="s">
        <v>378</v>
      </c>
      <c r="C16" s="1" t="s">
        <v>63</v>
      </c>
      <c r="D16" s="1" t="s">
        <v>289</v>
      </c>
      <c r="E16" s="1" t="s">
        <v>64</v>
      </c>
      <c r="F16" s="1" t="s">
        <v>290</v>
      </c>
      <c r="G16" s="1" t="s">
        <v>65</v>
      </c>
      <c r="H16" s="1" t="s">
        <v>52</v>
      </c>
      <c r="I16" s="1" t="s">
        <v>66</v>
      </c>
      <c r="J16" s="1" t="s">
        <v>66</v>
      </c>
      <c r="K16" s="1" t="s">
        <v>67</v>
      </c>
      <c r="L16" s="2">
        <v>23</v>
      </c>
    </row>
    <row r="17" spans="1:12" x14ac:dyDescent="0.55000000000000004">
      <c r="A17" s="1" t="s">
        <v>62</v>
      </c>
      <c r="B17" s="1" t="s">
        <v>378</v>
      </c>
      <c r="C17" s="1" t="s">
        <v>34</v>
      </c>
      <c r="D17" s="1" t="s">
        <v>278</v>
      </c>
      <c r="E17" s="1" t="s">
        <v>68</v>
      </c>
      <c r="F17" s="1" t="s">
        <v>291</v>
      </c>
      <c r="G17" s="1" t="s">
        <v>69</v>
      </c>
      <c r="H17" s="1" t="s">
        <v>14</v>
      </c>
      <c r="I17" s="1" t="s">
        <v>53</v>
      </c>
      <c r="J17" s="1" t="s">
        <v>53</v>
      </c>
      <c r="K17" s="1" t="s">
        <v>21</v>
      </c>
      <c r="L17" s="2">
        <v>25</v>
      </c>
    </row>
    <row r="18" spans="1:12" x14ac:dyDescent="0.55000000000000004">
      <c r="A18" s="1" t="s">
        <v>70</v>
      </c>
      <c r="B18" s="1" t="s">
        <v>378</v>
      </c>
      <c r="C18" s="1" t="s">
        <v>10</v>
      </c>
      <c r="D18" s="1" t="s">
        <v>270</v>
      </c>
      <c r="E18" s="1" t="s">
        <v>71</v>
      </c>
      <c r="F18" s="1" t="s">
        <v>292</v>
      </c>
      <c r="G18" s="1" t="s">
        <v>72</v>
      </c>
      <c r="H18" s="1" t="s">
        <v>52</v>
      </c>
      <c r="I18" s="1" t="s">
        <v>73</v>
      </c>
      <c r="J18" s="1" t="s">
        <v>26</v>
      </c>
      <c r="K18" s="1" t="s">
        <v>74</v>
      </c>
      <c r="L18" s="2">
        <v>169</v>
      </c>
    </row>
    <row r="19" spans="1:12" x14ac:dyDescent="0.55000000000000004">
      <c r="A19" s="1" t="s">
        <v>70</v>
      </c>
      <c r="B19" s="1" t="s">
        <v>378</v>
      </c>
      <c r="C19" s="1" t="s">
        <v>75</v>
      </c>
      <c r="D19" s="1" t="s">
        <v>293</v>
      </c>
      <c r="E19" s="1" t="s">
        <v>76</v>
      </c>
      <c r="F19" s="1" t="s">
        <v>294</v>
      </c>
      <c r="G19" s="1" t="s">
        <v>77</v>
      </c>
      <c r="H19" s="1" t="s">
        <v>25</v>
      </c>
      <c r="I19" s="1" t="s">
        <v>78</v>
      </c>
      <c r="J19" s="1" t="s">
        <v>79</v>
      </c>
      <c r="K19" s="1" t="s">
        <v>80</v>
      </c>
      <c r="L19" s="2">
        <v>170</v>
      </c>
    </row>
    <row r="20" spans="1:12" x14ac:dyDescent="0.55000000000000004">
      <c r="A20" s="1" t="s">
        <v>62</v>
      </c>
      <c r="B20" s="1" t="s">
        <v>378</v>
      </c>
      <c r="C20" s="1" t="s">
        <v>81</v>
      </c>
      <c r="D20" s="1" t="s">
        <v>295</v>
      </c>
      <c r="E20" s="1" t="s">
        <v>82</v>
      </c>
      <c r="F20" s="1" t="s">
        <v>296</v>
      </c>
      <c r="G20" s="1" t="s">
        <v>83</v>
      </c>
      <c r="H20" s="1" t="s">
        <v>52</v>
      </c>
      <c r="I20" s="1" t="s">
        <v>67</v>
      </c>
      <c r="J20" s="1" t="s">
        <v>67</v>
      </c>
      <c r="K20" s="1" t="s">
        <v>20</v>
      </c>
      <c r="L20" s="2">
        <v>21</v>
      </c>
    </row>
    <row r="21" spans="1:12" x14ac:dyDescent="0.55000000000000004">
      <c r="A21" s="1" t="s">
        <v>62</v>
      </c>
      <c r="B21" s="1" t="s">
        <v>378</v>
      </c>
      <c r="C21" s="1" t="s">
        <v>63</v>
      </c>
      <c r="D21" s="1" t="s">
        <v>289</v>
      </c>
      <c r="E21" s="1" t="s">
        <v>84</v>
      </c>
      <c r="F21" s="1" t="s">
        <v>297</v>
      </c>
      <c r="G21" s="1" t="s">
        <v>85</v>
      </c>
      <c r="H21" s="1" t="s">
        <v>86</v>
      </c>
      <c r="I21" s="1" t="s">
        <v>48</v>
      </c>
      <c r="J21" s="1" t="s">
        <v>53</v>
      </c>
      <c r="K21" s="1" t="s">
        <v>21</v>
      </c>
      <c r="L21" s="2">
        <v>24</v>
      </c>
    </row>
    <row r="22" spans="1:12" x14ac:dyDescent="0.55000000000000004">
      <c r="A22" s="1" t="s">
        <v>62</v>
      </c>
      <c r="B22" s="1" t="s">
        <v>378</v>
      </c>
      <c r="C22" s="1" t="s">
        <v>81</v>
      </c>
      <c r="D22" s="1" t="s">
        <v>295</v>
      </c>
      <c r="E22" s="1" t="s">
        <v>87</v>
      </c>
      <c r="F22" s="1" t="s">
        <v>298</v>
      </c>
      <c r="G22" s="1" t="s">
        <v>88</v>
      </c>
      <c r="H22" s="1" t="s">
        <v>89</v>
      </c>
      <c r="I22" s="1" t="s">
        <v>19</v>
      </c>
      <c r="J22" s="1" t="s">
        <v>19</v>
      </c>
      <c r="K22" s="1" t="s">
        <v>66</v>
      </c>
      <c r="L22" s="2">
        <v>27</v>
      </c>
    </row>
    <row r="23" spans="1:12" x14ac:dyDescent="0.55000000000000004">
      <c r="A23" s="1" t="s">
        <v>62</v>
      </c>
      <c r="B23" s="1" t="s">
        <v>378</v>
      </c>
      <c r="C23" s="1" t="s">
        <v>81</v>
      </c>
      <c r="D23" s="1" t="s">
        <v>295</v>
      </c>
      <c r="E23" s="1" t="s">
        <v>90</v>
      </c>
      <c r="F23" s="1" t="s">
        <v>299</v>
      </c>
      <c r="G23" s="1" t="s">
        <v>91</v>
      </c>
      <c r="H23" s="1" t="s">
        <v>19</v>
      </c>
      <c r="I23" s="1" t="s">
        <v>21</v>
      </c>
      <c r="J23" s="1" t="s">
        <v>79</v>
      </c>
      <c r="K23" s="1" t="s">
        <v>92</v>
      </c>
      <c r="L23" s="2">
        <v>22</v>
      </c>
    </row>
    <row r="24" spans="1:12" x14ac:dyDescent="0.55000000000000004">
      <c r="A24" s="1" t="s">
        <v>62</v>
      </c>
      <c r="B24" s="1"/>
      <c r="C24" s="1" t="s">
        <v>93</v>
      </c>
      <c r="D24" s="1" t="s">
        <v>300</v>
      </c>
      <c r="E24" s="1" t="s">
        <v>94</v>
      </c>
      <c r="F24" s="1" t="s">
        <v>301</v>
      </c>
      <c r="G24" s="1" t="s">
        <v>95</v>
      </c>
      <c r="H24" s="1"/>
      <c r="I24" s="1"/>
      <c r="J24" s="1"/>
      <c r="K24" s="1"/>
      <c r="L24" s="2">
        <v>28</v>
      </c>
    </row>
    <row r="25" spans="1:12" x14ac:dyDescent="0.55000000000000004">
      <c r="A25" s="1" t="s">
        <v>70</v>
      </c>
      <c r="B25" s="1" t="s">
        <v>378</v>
      </c>
      <c r="C25" s="1" t="s">
        <v>75</v>
      </c>
      <c r="D25" s="1" t="s">
        <v>293</v>
      </c>
      <c r="E25" s="1" t="s">
        <v>96</v>
      </c>
      <c r="F25" s="1" t="s">
        <v>302</v>
      </c>
      <c r="G25" s="1" t="s">
        <v>97</v>
      </c>
      <c r="H25" s="1" t="s">
        <v>78</v>
      </c>
      <c r="I25" s="1" t="s">
        <v>98</v>
      </c>
      <c r="J25" s="1"/>
      <c r="K25" s="1"/>
      <c r="L25" s="2">
        <v>173</v>
      </c>
    </row>
    <row r="26" spans="1:12" x14ac:dyDescent="0.55000000000000004">
      <c r="A26" s="1" t="s">
        <v>62</v>
      </c>
      <c r="B26" s="1" t="s">
        <v>378</v>
      </c>
      <c r="C26" s="1" t="s">
        <v>63</v>
      </c>
      <c r="D26" s="1" t="s">
        <v>289</v>
      </c>
      <c r="E26" s="1" t="s">
        <v>99</v>
      </c>
      <c r="F26" s="1" t="s">
        <v>303</v>
      </c>
      <c r="G26" s="1" t="s">
        <v>100</v>
      </c>
      <c r="H26" s="1" t="s">
        <v>33</v>
      </c>
      <c r="I26" s="1" t="s">
        <v>20</v>
      </c>
      <c r="J26" s="1" t="s">
        <v>20</v>
      </c>
      <c r="K26" s="1" t="s">
        <v>101</v>
      </c>
      <c r="L26" s="2">
        <v>26</v>
      </c>
    </row>
    <row r="27" spans="1:12" x14ac:dyDescent="0.55000000000000004">
      <c r="A27" s="1" t="s">
        <v>102</v>
      </c>
      <c r="B27" s="1" t="s">
        <v>378</v>
      </c>
      <c r="C27" s="1" t="s">
        <v>103</v>
      </c>
      <c r="D27" s="1" t="s">
        <v>304</v>
      </c>
      <c r="E27" s="1" t="s">
        <v>104</v>
      </c>
      <c r="F27" s="1" t="s">
        <v>305</v>
      </c>
      <c r="G27" s="1" t="s">
        <v>105</v>
      </c>
      <c r="H27" s="1" t="s">
        <v>67</v>
      </c>
      <c r="I27" s="1" t="s">
        <v>101</v>
      </c>
      <c r="J27" s="1" t="s">
        <v>101</v>
      </c>
      <c r="K27" s="1" t="s">
        <v>78</v>
      </c>
      <c r="L27" s="2">
        <v>41</v>
      </c>
    </row>
    <row r="28" spans="1:12" x14ac:dyDescent="0.55000000000000004">
      <c r="A28" s="1" t="s">
        <v>102</v>
      </c>
      <c r="B28" s="1" t="s">
        <v>378</v>
      </c>
      <c r="C28" s="1" t="s">
        <v>106</v>
      </c>
      <c r="D28" s="1" t="s">
        <v>306</v>
      </c>
      <c r="E28" s="1" t="s">
        <v>107</v>
      </c>
      <c r="F28" s="1" t="s">
        <v>307</v>
      </c>
      <c r="G28" s="1" t="s">
        <v>108</v>
      </c>
      <c r="H28" s="1" t="s">
        <v>37</v>
      </c>
      <c r="I28" s="1" t="s">
        <v>67</v>
      </c>
      <c r="J28" s="1" t="s">
        <v>67</v>
      </c>
      <c r="K28" s="1" t="s">
        <v>109</v>
      </c>
      <c r="L28" s="2">
        <v>44</v>
      </c>
    </row>
    <row r="29" spans="1:12" x14ac:dyDescent="0.55000000000000004">
      <c r="A29" s="1" t="s">
        <v>102</v>
      </c>
      <c r="B29" s="1" t="s">
        <v>378</v>
      </c>
      <c r="C29" s="1" t="s">
        <v>110</v>
      </c>
      <c r="D29" s="1" t="s">
        <v>308</v>
      </c>
      <c r="E29" s="1" t="s">
        <v>111</v>
      </c>
      <c r="F29" s="1" t="s">
        <v>309</v>
      </c>
      <c r="G29" s="1" t="s">
        <v>112</v>
      </c>
      <c r="H29" s="1" t="s">
        <v>19</v>
      </c>
      <c r="I29" s="1" t="s">
        <v>67</v>
      </c>
      <c r="J29" s="1" t="s">
        <v>25</v>
      </c>
      <c r="K29" s="1" t="s">
        <v>113</v>
      </c>
      <c r="L29" s="2">
        <v>45</v>
      </c>
    </row>
    <row r="30" spans="1:12" x14ac:dyDescent="0.55000000000000004">
      <c r="A30" s="1" t="s">
        <v>102</v>
      </c>
      <c r="B30" s="1" t="s">
        <v>378</v>
      </c>
      <c r="C30" s="1" t="s">
        <v>114</v>
      </c>
      <c r="D30" s="1" t="s">
        <v>310</v>
      </c>
      <c r="E30" s="1" t="s">
        <v>115</v>
      </c>
      <c r="F30" s="1" t="s">
        <v>311</v>
      </c>
      <c r="G30" s="1" t="s">
        <v>116</v>
      </c>
      <c r="H30" s="1" t="s">
        <v>48</v>
      </c>
      <c r="I30" s="1" t="s">
        <v>113</v>
      </c>
      <c r="J30" s="1" t="s">
        <v>117</v>
      </c>
      <c r="K30" s="1" t="s">
        <v>80</v>
      </c>
      <c r="L30" s="2">
        <v>42</v>
      </c>
    </row>
    <row r="31" spans="1:12" x14ac:dyDescent="0.55000000000000004">
      <c r="A31" s="1" t="s">
        <v>102</v>
      </c>
      <c r="B31" s="1" t="s">
        <v>378</v>
      </c>
      <c r="C31" s="1" t="s">
        <v>114</v>
      </c>
      <c r="D31" s="1" t="s">
        <v>310</v>
      </c>
      <c r="E31" s="1" t="s">
        <v>118</v>
      </c>
      <c r="F31" s="1" t="s">
        <v>312</v>
      </c>
      <c r="G31" s="1" t="s">
        <v>119</v>
      </c>
      <c r="H31" s="1" t="s">
        <v>89</v>
      </c>
      <c r="I31" s="1" t="s">
        <v>19</v>
      </c>
      <c r="J31" s="1" t="s">
        <v>14</v>
      </c>
      <c r="K31" s="1" t="s">
        <v>66</v>
      </c>
      <c r="L31" s="2">
        <v>46</v>
      </c>
    </row>
    <row r="32" spans="1:12" x14ac:dyDescent="0.55000000000000004">
      <c r="A32" s="1" t="s">
        <v>70</v>
      </c>
      <c r="B32" s="1" t="s">
        <v>378</v>
      </c>
      <c r="C32" s="1" t="s">
        <v>75</v>
      </c>
      <c r="D32" s="1" t="s">
        <v>293</v>
      </c>
      <c r="E32" s="1" t="s">
        <v>120</v>
      </c>
      <c r="F32" s="1" t="s">
        <v>313</v>
      </c>
      <c r="G32" s="1" t="s">
        <v>121</v>
      </c>
      <c r="H32" s="1" t="s">
        <v>122</v>
      </c>
      <c r="I32" s="1" t="s">
        <v>123</v>
      </c>
      <c r="J32" s="1"/>
      <c r="K32" s="1"/>
      <c r="L32" s="2">
        <v>174</v>
      </c>
    </row>
    <row r="33" spans="1:12" x14ac:dyDescent="0.55000000000000004">
      <c r="A33" s="1" t="s">
        <v>102</v>
      </c>
      <c r="B33" s="1" t="s">
        <v>378</v>
      </c>
      <c r="C33" s="1" t="s">
        <v>106</v>
      </c>
      <c r="D33" s="1" t="s">
        <v>306</v>
      </c>
      <c r="E33" s="1" t="s">
        <v>124</v>
      </c>
      <c r="F33" s="1" t="s">
        <v>314</v>
      </c>
      <c r="G33" s="1" t="s">
        <v>125</v>
      </c>
      <c r="H33" s="1" t="s">
        <v>20</v>
      </c>
      <c r="I33" s="1" t="s">
        <v>113</v>
      </c>
      <c r="J33" s="1" t="s">
        <v>113</v>
      </c>
      <c r="K33" s="1" t="s">
        <v>79</v>
      </c>
      <c r="L33" s="2">
        <v>43</v>
      </c>
    </row>
    <row r="34" spans="1:12" x14ac:dyDescent="0.55000000000000004">
      <c r="A34" s="1" t="s">
        <v>102</v>
      </c>
      <c r="B34" s="1" t="s">
        <v>378</v>
      </c>
      <c r="C34" s="1" t="s">
        <v>114</v>
      </c>
      <c r="D34" s="1" t="s">
        <v>310</v>
      </c>
      <c r="E34" s="1" t="s">
        <v>126</v>
      </c>
      <c r="F34" s="1" t="s">
        <v>315</v>
      </c>
      <c r="G34" s="1" t="s">
        <v>127</v>
      </c>
      <c r="H34" s="1" t="s">
        <v>25</v>
      </c>
      <c r="I34" s="1" t="s">
        <v>128</v>
      </c>
      <c r="J34" s="1" t="s">
        <v>122</v>
      </c>
      <c r="K34" s="1" t="s">
        <v>98</v>
      </c>
      <c r="L34" s="2">
        <v>47</v>
      </c>
    </row>
    <row r="35" spans="1:12" x14ac:dyDescent="0.55000000000000004">
      <c r="A35" s="1" t="s">
        <v>70</v>
      </c>
      <c r="B35" s="1" t="s">
        <v>378</v>
      </c>
      <c r="C35" s="1" t="s">
        <v>75</v>
      </c>
      <c r="D35" s="1" t="s">
        <v>293</v>
      </c>
      <c r="E35" s="1" t="s">
        <v>129</v>
      </c>
      <c r="F35" s="1" t="s">
        <v>316</v>
      </c>
      <c r="G35" s="1" t="s">
        <v>130</v>
      </c>
      <c r="H35" s="1" t="s">
        <v>25</v>
      </c>
      <c r="I35" s="1" t="s">
        <v>78</v>
      </c>
      <c r="J35" s="1"/>
      <c r="K35" s="1"/>
      <c r="L35" s="2">
        <v>172</v>
      </c>
    </row>
    <row r="36" spans="1:12" x14ac:dyDescent="0.55000000000000004">
      <c r="A36" s="1" t="s">
        <v>131</v>
      </c>
      <c r="B36" s="1" t="s">
        <v>378</v>
      </c>
      <c r="C36" s="1" t="s">
        <v>75</v>
      </c>
      <c r="D36" s="1" t="s">
        <v>293</v>
      </c>
      <c r="E36" s="1" t="s">
        <v>132</v>
      </c>
      <c r="F36" s="1" t="s">
        <v>302</v>
      </c>
      <c r="G36" s="1" t="s">
        <v>133</v>
      </c>
      <c r="H36" s="1" t="s">
        <v>15</v>
      </c>
      <c r="I36" s="1" t="s">
        <v>109</v>
      </c>
      <c r="J36" s="1" t="s">
        <v>101</v>
      </c>
      <c r="K36" s="1" t="s">
        <v>117</v>
      </c>
      <c r="L36" s="2">
        <v>68</v>
      </c>
    </row>
    <row r="37" spans="1:12" x14ac:dyDescent="0.55000000000000004">
      <c r="A37" s="1" t="s">
        <v>131</v>
      </c>
      <c r="B37" s="1" t="s">
        <v>378</v>
      </c>
      <c r="C37" s="1" t="s">
        <v>106</v>
      </c>
      <c r="D37" s="1" t="s">
        <v>306</v>
      </c>
      <c r="E37" s="1" t="s">
        <v>134</v>
      </c>
      <c r="F37" s="1" t="s">
        <v>317</v>
      </c>
      <c r="G37" s="1" t="s">
        <v>135</v>
      </c>
      <c r="H37" s="1" t="s">
        <v>53</v>
      </c>
      <c r="I37" s="1" t="s">
        <v>73</v>
      </c>
      <c r="J37" s="1" t="s">
        <v>113</v>
      </c>
      <c r="K37" s="1" t="s">
        <v>136</v>
      </c>
      <c r="L37" s="2">
        <v>61</v>
      </c>
    </row>
    <row r="38" spans="1:12" x14ac:dyDescent="0.55000000000000004">
      <c r="A38" s="1" t="s">
        <v>131</v>
      </c>
      <c r="B38" s="1" t="s">
        <v>378</v>
      </c>
      <c r="C38" s="1" t="s">
        <v>110</v>
      </c>
      <c r="D38" s="1" t="s">
        <v>308</v>
      </c>
      <c r="E38" s="1" t="s">
        <v>137</v>
      </c>
      <c r="F38" s="1" t="s">
        <v>318</v>
      </c>
      <c r="G38" s="1" t="s">
        <v>138</v>
      </c>
      <c r="H38" s="1" t="s">
        <v>37</v>
      </c>
      <c r="I38" s="1" t="s">
        <v>101</v>
      </c>
      <c r="J38" s="1" t="s">
        <v>136</v>
      </c>
      <c r="K38" s="1" t="s">
        <v>117</v>
      </c>
      <c r="L38" s="2">
        <v>62</v>
      </c>
    </row>
    <row r="39" spans="1:12" x14ac:dyDescent="0.55000000000000004">
      <c r="A39" s="1" t="s">
        <v>131</v>
      </c>
      <c r="B39" s="1" t="s">
        <v>378</v>
      </c>
      <c r="C39" s="1" t="s">
        <v>139</v>
      </c>
      <c r="D39" s="1" t="s">
        <v>319</v>
      </c>
      <c r="E39" s="1" t="s">
        <v>140</v>
      </c>
      <c r="F39" s="1" t="s">
        <v>320</v>
      </c>
      <c r="G39" s="1" t="s">
        <v>141</v>
      </c>
      <c r="H39" s="1" t="s">
        <v>66</v>
      </c>
      <c r="I39" s="1" t="s">
        <v>113</v>
      </c>
      <c r="J39" s="1" t="s">
        <v>113</v>
      </c>
      <c r="K39" s="1" t="s">
        <v>136</v>
      </c>
      <c r="L39" s="2">
        <v>64</v>
      </c>
    </row>
    <row r="40" spans="1:12" x14ac:dyDescent="0.55000000000000004">
      <c r="A40" s="1" t="s">
        <v>131</v>
      </c>
      <c r="B40" s="1" t="s">
        <v>378</v>
      </c>
      <c r="C40" s="1" t="s">
        <v>142</v>
      </c>
      <c r="D40" s="1" t="s">
        <v>321</v>
      </c>
      <c r="E40" s="1" t="s">
        <v>143</v>
      </c>
      <c r="F40" s="1" t="s">
        <v>322</v>
      </c>
      <c r="G40" s="1" t="s">
        <v>144</v>
      </c>
      <c r="H40" s="1" t="s">
        <v>15</v>
      </c>
      <c r="I40" s="1" t="s">
        <v>26</v>
      </c>
      <c r="J40" s="1" t="s">
        <v>26</v>
      </c>
      <c r="K40" s="1" t="s">
        <v>145</v>
      </c>
      <c r="L40" s="2">
        <v>65</v>
      </c>
    </row>
    <row r="41" spans="1:12" x14ac:dyDescent="0.55000000000000004">
      <c r="A41" s="1" t="s">
        <v>131</v>
      </c>
      <c r="B41" s="1" t="s">
        <v>378</v>
      </c>
      <c r="C41" s="1" t="s">
        <v>146</v>
      </c>
      <c r="D41" s="1" t="s">
        <v>323</v>
      </c>
      <c r="E41" s="1" t="s">
        <v>147</v>
      </c>
      <c r="F41" s="1" t="s">
        <v>324</v>
      </c>
      <c r="G41" s="1" t="s">
        <v>148</v>
      </c>
      <c r="H41" s="1" t="s">
        <v>19</v>
      </c>
      <c r="I41" s="1" t="s">
        <v>67</v>
      </c>
      <c r="J41" s="1" t="s">
        <v>67</v>
      </c>
      <c r="K41" s="1" t="s">
        <v>109</v>
      </c>
      <c r="L41" s="2">
        <v>67</v>
      </c>
    </row>
    <row r="42" spans="1:12" x14ac:dyDescent="0.55000000000000004">
      <c r="A42" s="1" t="s">
        <v>131</v>
      </c>
      <c r="B42" s="1" t="s">
        <v>378</v>
      </c>
      <c r="C42" s="1" t="s">
        <v>149</v>
      </c>
      <c r="D42" s="1" t="s">
        <v>325</v>
      </c>
      <c r="E42" s="1" t="s">
        <v>150</v>
      </c>
      <c r="F42" s="1" t="s">
        <v>326</v>
      </c>
      <c r="G42" s="1" t="s">
        <v>151</v>
      </c>
      <c r="H42" s="1" t="s">
        <v>15</v>
      </c>
      <c r="I42" s="1" t="s">
        <v>73</v>
      </c>
      <c r="J42" s="1" t="s">
        <v>73</v>
      </c>
      <c r="K42" s="1" t="s">
        <v>145</v>
      </c>
      <c r="L42" s="2">
        <v>71</v>
      </c>
    </row>
    <row r="43" spans="1:12" x14ac:dyDescent="0.55000000000000004">
      <c r="A43" s="1" t="s">
        <v>131</v>
      </c>
      <c r="B43" s="1" t="s">
        <v>378</v>
      </c>
      <c r="C43" s="1" t="s">
        <v>75</v>
      </c>
      <c r="D43" s="1" t="s">
        <v>293</v>
      </c>
      <c r="E43" s="1" t="s">
        <v>152</v>
      </c>
      <c r="F43" s="1" t="s">
        <v>327</v>
      </c>
      <c r="G43" s="1" t="s">
        <v>153</v>
      </c>
      <c r="H43" s="1" t="s">
        <v>21</v>
      </c>
      <c r="I43" s="1" t="s">
        <v>73</v>
      </c>
      <c r="J43" s="1" t="s">
        <v>73</v>
      </c>
      <c r="K43" s="1" t="s">
        <v>128</v>
      </c>
      <c r="L43" s="2">
        <v>69</v>
      </c>
    </row>
    <row r="44" spans="1:12" x14ac:dyDescent="0.55000000000000004">
      <c r="A44" s="1" t="s">
        <v>131</v>
      </c>
      <c r="B44" s="1" t="s">
        <v>378</v>
      </c>
      <c r="C44" s="1" t="s">
        <v>75</v>
      </c>
      <c r="D44" s="1" t="s">
        <v>293</v>
      </c>
      <c r="E44" s="1" t="s">
        <v>154</v>
      </c>
      <c r="F44" s="1" t="s">
        <v>328</v>
      </c>
      <c r="G44" s="1" t="s">
        <v>155</v>
      </c>
      <c r="H44" s="1" t="s">
        <v>19</v>
      </c>
      <c r="I44" s="1" t="s">
        <v>15</v>
      </c>
      <c r="J44" s="1" t="s">
        <v>15</v>
      </c>
      <c r="K44" s="1" t="s">
        <v>66</v>
      </c>
      <c r="L44" s="2">
        <v>70</v>
      </c>
    </row>
    <row r="45" spans="1:12" x14ac:dyDescent="0.55000000000000004">
      <c r="A45" s="1" t="s">
        <v>131</v>
      </c>
      <c r="B45" s="1" t="s">
        <v>378</v>
      </c>
      <c r="C45" s="1" t="s">
        <v>146</v>
      </c>
      <c r="D45" s="1" t="s">
        <v>323</v>
      </c>
      <c r="E45" s="1" t="s">
        <v>156</v>
      </c>
      <c r="F45" s="1" t="s">
        <v>329</v>
      </c>
      <c r="G45" s="1" t="s">
        <v>157</v>
      </c>
      <c r="H45" s="1" t="s">
        <v>158</v>
      </c>
      <c r="I45" s="1" t="s">
        <v>32</v>
      </c>
      <c r="J45" s="1" t="s">
        <v>32</v>
      </c>
      <c r="K45" s="1" t="s">
        <v>37</v>
      </c>
      <c r="L45" s="2">
        <v>74</v>
      </c>
    </row>
    <row r="46" spans="1:12" x14ac:dyDescent="0.55000000000000004">
      <c r="A46" s="1" t="s">
        <v>131</v>
      </c>
      <c r="B46" s="1" t="s">
        <v>378</v>
      </c>
      <c r="C46" s="1" t="s">
        <v>75</v>
      </c>
      <c r="D46" s="1" t="s">
        <v>293</v>
      </c>
      <c r="E46" s="1" t="s">
        <v>159</v>
      </c>
      <c r="F46" s="1" t="s">
        <v>328</v>
      </c>
      <c r="G46" s="1" t="s">
        <v>155</v>
      </c>
      <c r="H46" s="1"/>
      <c r="I46" s="1"/>
      <c r="J46" s="1"/>
      <c r="K46" s="1"/>
      <c r="L46" s="2">
        <v>78</v>
      </c>
    </row>
    <row r="47" spans="1:12" x14ac:dyDescent="0.55000000000000004">
      <c r="A47" s="1" t="s">
        <v>131</v>
      </c>
      <c r="B47" s="1" t="s">
        <v>378</v>
      </c>
      <c r="C47" s="1" t="s">
        <v>146</v>
      </c>
      <c r="D47" s="1" t="s">
        <v>323</v>
      </c>
      <c r="E47" s="1" t="s">
        <v>160</v>
      </c>
      <c r="F47" s="1" t="s">
        <v>330</v>
      </c>
      <c r="G47" s="1" t="s">
        <v>161</v>
      </c>
      <c r="H47" s="1" t="s">
        <v>73</v>
      </c>
      <c r="I47" s="1" t="s">
        <v>162</v>
      </c>
      <c r="J47" s="1" t="s">
        <v>162</v>
      </c>
      <c r="K47" s="1" t="s">
        <v>163</v>
      </c>
      <c r="L47" s="2">
        <v>72</v>
      </c>
    </row>
    <row r="48" spans="1:12" x14ac:dyDescent="0.55000000000000004">
      <c r="A48" s="1" t="s">
        <v>70</v>
      </c>
      <c r="B48" s="1" t="s">
        <v>378</v>
      </c>
      <c r="C48" s="1" t="s">
        <v>110</v>
      </c>
      <c r="D48" s="1" t="s">
        <v>308</v>
      </c>
      <c r="E48" s="1" t="s">
        <v>164</v>
      </c>
      <c r="F48" s="1" t="s">
        <v>331</v>
      </c>
      <c r="G48" s="1" t="s">
        <v>165</v>
      </c>
      <c r="H48" s="1" t="s">
        <v>25</v>
      </c>
      <c r="I48" s="1" t="s">
        <v>78</v>
      </c>
      <c r="J48" s="1" t="s">
        <v>122</v>
      </c>
      <c r="K48" s="1" t="s">
        <v>166</v>
      </c>
      <c r="L48" s="2">
        <v>171</v>
      </c>
    </row>
    <row r="49" spans="1:12" x14ac:dyDescent="0.55000000000000004">
      <c r="A49" s="1" t="s">
        <v>131</v>
      </c>
      <c r="B49" s="1" t="s">
        <v>378</v>
      </c>
      <c r="C49" s="1" t="s">
        <v>142</v>
      </c>
      <c r="D49" s="1" t="s">
        <v>321</v>
      </c>
      <c r="E49" s="1" t="s">
        <v>167</v>
      </c>
      <c r="F49" s="1" t="s">
        <v>332</v>
      </c>
      <c r="G49" s="1" t="s">
        <v>168</v>
      </c>
      <c r="H49" s="1" t="s">
        <v>53</v>
      </c>
      <c r="I49" s="1" t="s">
        <v>26</v>
      </c>
      <c r="J49" s="1" t="s">
        <v>26</v>
      </c>
      <c r="K49" s="1" t="s">
        <v>74</v>
      </c>
      <c r="L49" s="2">
        <v>75</v>
      </c>
    </row>
    <row r="50" spans="1:12" x14ac:dyDescent="0.55000000000000004">
      <c r="A50" s="1" t="s">
        <v>131</v>
      </c>
      <c r="B50" s="1" t="s">
        <v>378</v>
      </c>
      <c r="C50" s="1" t="s">
        <v>110</v>
      </c>
      <c r="D50" s="1" t="s">
        <v>308</v>
      </c>
      <c r="E50" s="1" t="s">
        <v>169</v>
      </c>
      <c r="F50" s="1" t="s">
        <v>333</v>
      </c>
      <c r="G50" s="1" t="s">
        <v>168</v>
      </c>
      <c r="H50" s="1" t="s">
        <v>136</v>
      </c>
      <c r="I50" s="1" t="s">
        <v>162</v>
      </c>
      <c r="J50" s="1" t="s">
        <v>170</v>
      </c>
      <c r="K50" s="1" t="s">
        <v>123</v>
      </c>
      <c r="L50" s="2">
        <v>76</v>
      </c>
    </row>
    <row r="51" spans="1:12" x14ac:dyDescent="0.55000000000000004">
      <c r="A51" s="1" t="s">
        <v>131</v>
      </c>
      <c r="B51" s="1" t="s">
        <v>378</v>
      </c>
      <c r="C51" s="1" t="s">
        <v>146</v>
      </c>
      <c r="D51" s="1" t="s">
        <v>323</v>
      </c>
      <c r="E51" s="1" t="s">
        <v>171</v>
      </c>
      <c r="F51" s="1" t="s">
        <v>334</v>
      </c>
      <c r="G51" s="1" t="s">
        <v>172</v>
      </c>
      <c r="H51" s="1" t="s">
        <v>33</v>
      </c>
      <c r="I51" s="1" t="s">
        <v>145</v>
      </c>
      <c r="J51" s="1" t="s">
        <v>145</v>
      </c>
      <c r="K51" s="1" t="s">
        <v>173</v>
      </c>
      <c r="L51" s="2">
        <v>66</v>
      </c>
    </row>
    <row r="52" spans="1:12" x14ac:dyDescent="0.55000000000000004">
      <c r="A52" s="1" t="s">
        <v>131</v>
      </c>
      <c r="B52" s="1" t="s">
        <v>378</v>
      </c>
      <c r="C52" s="1" t="s">
        <v>110</v>
      </c>
      <c r="D52" s="1" t="s">
        <v>308</v>
      </c>
      <c r="E52" s="1" t="s">
        <v>174</v>
      </c>
      <c r="F52" s="1" t="s">
        <v>335</v>
      </c>
      <c r="G52" s="1" t="s">
        <v>175</v>
      </c>
      <c r="H52" s="1" t="s">
        <v>19</v>
      </c>
      <c r="I52" s="1" t="s">
        <v>37</v>
      </c>
      <c r="J52" s="1" t="s">
        <v>48</v>
      </c>
      <c r="K52" s="1" t="s">
        <v>25</v>
      </c>
      <c r="L52" s="2">
        <v>63</v>
      </c>
    </row>
    <row r="53" spans="1:12" x14ac:dyDescent="0.55000000000000004">
      <c r="A53" s="1" t="s">
        <v>131</v>
      </c>
      <c r="B53" s="1" t="s">
        <v>378</v>
      </c>
      <c r="C53" s="1" t="s">
        <v>139</v>
      </c>
      <c r="D53" s="1" t="s">
        <v>319</v>
      </c>
      <c r="E53" s="1" t="s">
        <v>176</v>
      </c>
      <c r="F53" s="1" t="s">
        <v>336</v>
      </c>
      <c r="G53" s="1" t="s">
        <v>177</v>
      </c>
      <c r="H53" s="1" t="s">
        <v>52</v>
      </c>
      <c r="I53" s="1" t="s">
        <v>48</v>
      </c>
      <c r="J53" s="1" t="s">
        <v>48</v>
      </c>
      <c r="K53" s="1" t="s">
        <v>20</v>
      </c>
      <c r="L53" s="2">
        <v>73</v>
      </c>
    </row>
    <row r="54" spans="1:12" x14ac:dyDescent="0.55000000000000004">
      <c r="A54" s="1" t="s">
        <v>131</v>
      </c>
      <c r="B54" s="1" t="s">
        <v>378</v>
      </c>
      <c r="C54" s="1" t="s">
        <v>142</v>
      </c>
      <c r="D54" s="1" t="s">
        <v>321</v>
      </c>
      <c r="E54" s="1" t="s">
        <v>178</v>
      </c>
      <c r="F54" s="1" t="s">
        <v>337</v>
      </c>
      <c r="G54" s="1" t="s">
        <v>179</v>
      </c>
      <c r="H54" s="1" t="s">
        <v>13</v>
      </c>
      <c r="I54" s="1" t="s">
        <v>37</v>
      </c>
      <c r="J54" s="1" t="s">
        <v>37</v>
      </c>
      <c r="K54" s="1" t="s">
        <v>67</v>
      </c>
      <c r="L54" s="2">
        <v>77</v>
      </c>
    </row>
    <row r="55" spans="1:12" x14ac:dyDescent="0.55000000000000004">
      <c r="A55" s="1" t="s">
        <v>180</v>
      </c>
      <c r="B55" s="1" t="s">
        <v>379</v>
      </c>
      <c r="C55" s="1" t="s">
        <v>181</v>
      </c>
      <c r="D55" s="1" t="s">
        <v>338</v>
      </c>
      <c r="E55" s="1" t="s">
        <v>182</v>
      </c>
      <c r="F55" s="1" t="s">
        <v>339</v>
      </c>
      <c r="G55" s="1" t="s">
        <v>183</v>
      </c>
      <c r="H55" s="1" t="s">
        <v>66</v>
      </c>
      <c r="I55" s="1" t="s">
        <v>145</v>
      </c>
      <c r="J55" s="1" t="s">
        <v>27</v>
      </c>
      <c r="K55" s="1" t="s">
        <v>163</v>
      </c>
      <c r="L55" s="2">
        <v>91</v>
      </c>
    </row>
    <row r="56" spans="1:12" x14ac:dyDescent="0.55000000000000004">
      <c r="A56" s="1" t="s">
        <v>180</v>
      </c>
      <c r="B56" s="1" t="s">
        <v>379</v>
      </c>
      <c r="C56" s="1" t="s">
        <v>181</v>
      </c>
      <c r="D56" s="1" t="s">
        <v>338</v>
      </c>
      <c r="E56" s="1" t="s">
        <v>184</v>
      </c>
      <c r="F56" s="1" t="s">
        <v>340</v>
      </c>
      <c r="G56" s="1" t="s">
        <v>185</v>
      </c>
      <c r="H56" s="1" t="s">
        <v>37</v>
      </c>
      <c r="I56" s="1" t="s">
        <v>66</v>
      </c>
      <c r="J56" s="1" t="s">
        <v>66</v>
      </c>
      <c r="K56" s="1" t="s">
        <v>67</v>
      </c>
      <c r="L56" s="2">
        <v>92</v>
      </c>
    </row>
    <row r="57" spans="1:12" x14ac:dyDescent="0.55000000000000004">
      <c r="A57" s="1" t="s">
        <v>180</v>
      </c>
      <c r="B57" s="1" t="s">
        <v>379</v>
      </c>
      <c r="C57" s="1" t="s">
        <v>186</v>
      </c>
      <c r="D57" s="1" t="s">
        <v>341</v>
      </c>
      <c r="E57" s="1" t="s">
        <v>187</v>
      </c>
      <c r="F57" s="1" t="s">
        <v>342</v>
      </c>
      <c r="G57" s="1" t="s">
        <v>188</v>
      </c>
      <c r="H57" s="1" t="s">
        <v>86</v>
      </c>
      <c r="I57" s="1" t="s">
        <v>53</v>
      </c>
      <c r="J57" s="1" t="s">
        <v>53</v>
      </c>
      <c r="K57" s="1" t="s">
        <v>25</v>
      </c>
      <c r="L57" s="2">
        <v>94</v>
      </c>
    </row>
    <row r="58" spans="1:12" x14ac:dyDescent="0.55000000000000004">
      <c r="A58" s="1" t="s">
        <v>189</v>
      </c>
      <c r="B58" s="1"/>
      <c r="C58" s="1" t="s">
        <v>190</v>
      </c>
      <c r="D58" s="1" t="s">
        <v>343</v>
      </c>
      <c r="E58" s="1" t="s">
        <v>191</v>
      </c>
      <c r="F58" s="1" t="s">
        <v>344</v>
      </c>
      <c r="G58" s="1" t="s">
        <v>192</v>
      </c>
      <c r="H58" s="1"/>
      <c r="I58" s="1"/>
      <c r="J58" s="1"/>
      <c r="K58" s="1"/>
      <c r="L58" s="2">
        <v>151</v>
      </c>
    </row>
    <row r="59" spans="1:12" x14ac:dyDescent="0.55000000000000004">
      <c r="A59" s="1" t="s">
        <v>189</v>
      </c>
      <c r="B59" s="1" t="s">
        <v>379</v>
      </c>
      <c r="C59" s="1" t="s">
        <v>181</v>
      </c>
      <c r="D59" s="1" t="s">
        <v>338</v>
      </c>
      <c r="E59" s="1" t="s">
        <v>193</v>
      </c>
      <c r="F59" s="1" t="s">
        <v>345</v>
      </c>
      <c r="G59" s="1" t="s">
        <v>194</v>
      </c>
      <c r="H59" s="1"/>
      <c r="I59" s="1"/>
      <c r="J59" s="1"/>
      <c r="K59" s="1"/>
      <c r="L59" s="2">
        <v>152</v>
      </c>
    </row>
    <row r="60" spans="1:12" x14ac:dyDescent="0.55000000000000004">
      <c r="A60" s="1" t="s">
        <v>189</v>
      </c>
      <c r="B60" s="1" t="s">
        <v>379</v>
      </c>
      <c r="C60" s="1" t="s">
        <v>181</v>
      </c>
      <c r="D60" s="1" t="s">
        <v>338</v>
      </c>
      <c r="E60" s="1" t="s">
        <v>195</v>
      </c>
      <c r="F60" s="1" t="s">
        <v>346</v>
      </c>
      <c r="G60" s="1" t="s">
        <v>196</v>
      </c>
      <c r="H60" s="1"/>
      <c r="I60" s="1"/>
      <c r="J60" s="1"/>
      <c r="K60" s="1"/>
      <c r="L60" s="2">
        <v>155</v>
      </c>
    </row>
    <row r="61" spans="1:12" x14ac:dyDescent="0.55000000000000004">
      <c r="A61" s="1" t="s">
        <v>180</v>
      </c>
      <c r="B61" s="1"/>
      <c r="C61" s="1" t="s">
        <v>197</v>
      </c>
      <c r="D61" s="1" t="s">
        <v>347</v>
      </c>
      <c r="E61" s="1" t="s">
        <v>198</v>
      </c>
      <c r="F61" s="1" t="s">
        <v>348</v>
      </c>
      <c r="G61" s="1" t="s">
        <v>199</v>
      </c>
      <c r="H61" s="1"/>
      <c r="I61" s="1"/>
      <c r="J61" s="1"/>
      <c r="K61" s="1"/>
      <c r="L61" s="2">
        <v>95</v>
      </c>
    </row>
    <row r="62" spans="1:12" x14ac:dyDescent="0.55000000000000004">
      <c r="A62" s="1" t="s">
        <v>200</v>
      </c>
      <c r="B62" s="1"/>
      <c r="C62" s="1" t="s">
        <v>197</v>
      </c>
      <c r="D62" s="1" t="s">
        <v>347</v>
      </c>
      <c r="E62" s="1" t="s">
        <v>201</v>
      </c>
      <c r="F62" s="1" t="s">
        <v>349</v>
      </c>
      <c r="G62" s="1" t="s">
        <v>202</v>
      </c>
      <c r="H62" s="1" t="s">
        <v>113</v>
      </c>
      <c r="I62" s="1" t="s">
        <v>79</v>
      </c>
      <c r="J62" s="1"/>
      <c r="K62" s="1"/>
      <c r="L62" s="2">
        <v>153</v>
      </c>
    </row>
    <row r="63" spans="1:12" x14ac:dyDescent="0.55000000000000004">
      <c r="A63" s="1" t="s">
        <v>180</v>
      </c>
      <c r="B63" s="1" t="s">
        <v>380</v>
      </c>
      <c r="C63" s="1" t="s">
        <v>203</v>
      </c>
      <c r="D63" s="1" t="s">
        <v>350</v>
      </c>
      <c r="E63" s="1" t="s">
        <v>204</v>
      </c>
      <c r="F63" s="1" t="s">
        <v>351</v>
      </c>
      <c r="G63" s="1" t="s">
        <v>205</v>
      </c>
      <c r="H63" s="1" t="s">
        <v>21</v>
      </c>
      <c r="I63" s="1" t="s">
        <v>173</v>
      </c>
      <c r="J63" s="1" t="s">
        <v>173</v>
      </c>
      <c r="K63" s="1" t="s">
        <v>163</v>
      </c>
      <c r="L63" s="2">
        <v>93</v>
      </c>
    </row>
    <row r="64" spans="1:12" x14ac:dyDescent="0.55000000000000004">
      <c r="A64" s="1" t="s">
        <v>206</v>
      </c>
      <c r="B64" s="1" t="s">
        <v>380</v>
      </c>
      <c r="C64" s="1" t="s">
        <v>203</v>
      </c>
      <c r="D64" s="1" t="s">
        <v>350</v>
      </c>
      <c r="E64" s="1" t="s">
        <v>207</v>
      </c>
      <c r="F64" s="1" t="s">
        <v>352</v>
      </c>
      <c r="G64" s="1" t="s">
        <v>208</v>
      </c>
      <c r="H64" s="1"/>
      <c r="I64" s="1"/>
      <c r="J64" s="1"/>
      <c r="K64" s="1"/>
      <c r="L64" s="2">
        <v>193</v>
      </c>
    </row>
    <row r="65" spans="1:12" x14ac:dyDescent="0.55000000000000004">
      <c r="A65" s="1" t="s">
        <v>209</v>
      </c>
      <c r="B65" s="1" t="s">
        <v>380</v>
      </c>
      <c r="C65" s="1" t="s">
        <v>210</v>
      </c>
      <c r="D65" s="1" t="s">
        <v>353</v>
      </c>
      <c r="E65" s="1" t="s">
        <v>211</v>
      </c>
      <c r="F65" s="1" t="s">
        <v>354</v>
      </c>
      <c r="G65" s="1" t="s">
        <v>212</v>
      </c>
      <c r="H65" s="1" t="s">
        <v>79</v>
      </c>
      <c r="I65" s="1" t="s">
        <v>213</v>
      </c>
      <c r="J65" s="1" t="s">
        <v>213</v>
      </c>
      <c r="K65" s="1" t="s">
        <v>214</v>
      </c>
      <c r="L65" s="2">
        <v>111</v>
      </c>
    </row>
    <row r="66" spans="1:12" x14ac:dyDescent="0.55000000000000004">
      <c r="A66" s="1" t="s">
        <v>209</v>
      </c>
      <c r="B66" s="1" t="s">
        <v>380</v>
      </c>
      <c r="C66" s="1" t="s">
        <v>210</v>
      </c>
      <c r="D66" s="1" t="s">
        <v>353</v>
      </c>
      <c r="E66" s="1" t="s">
        <v>215</v>
      </c>
      <c r="F66" s="1" t="s">
        <v>355</v>
      </c>
      <c r="G66" s="1" t="s">
        <v>216</v>
      </c>
      <c r="H66" s="1" t="s">
        <v>145</v>
      </c>
      <c r="I66" s="1" t="s">
        <v>217</v>
      </c>
      <c r="J66" s="1" t="s">
        <v>218</v>
      </c>
      <c r="K66" s="1" t="s">
        <v>219</v>
      </c>
      <c r="L66" s="2">
        <v>114</v>
      </c>
    </row>
    <row r="67" spans="1:12" x14ac:dyDescent="0.55000000000000004">
      <c r="A67" s="1" t="s">
        <v>206</v>
      </c>
      <c r="B67" s="1" t="s">
        <v>380</v>
      </c>
      <c r="C67" s="1" t="s">
        <v>210</v>
      </c>
      <c r="D67" s="1" t="s">
        <v>353</v>
      </c>
      <c r="E67" s="1" t="s">
        <v>220</v>
      </c>
      <c r="F67" s="1" t="s">
        <v>356</v>
      </c>
      <c r="G67" s="1" t="s">
        <v>221</v>
      </c>
      <c r="H67" s="1"/>
      <c r="I67" s="1"/>
      <c r="J67" s="1"/>
      <c r="K67" s="1"/>
      <c r="L67" s="2">
        <v>187</v>
      </c>
    </row>
    <row r="68" spans="1:12" x14ac:dyDescent="0.55000000000000004">
      <c r="A68" s="1" t="s">
        <v>209</v>
      </c>
      <c r="B68" s="1" t="s">
        <v>380</v>
      </c>
      <c r="C68" s="1" t="s">
        <v>210</v>
      </c>
      <c r="D68" s="1" t="s">
        <v>353</v>
      </c>
      <c r="E68" s="1" t="s">
        <v>222</v>
      </c>
      <c r="F68" s="1" t="s">
        <v>357</v>
      </c>
      <c r="G68" s="1" t="s">
        <v>223</v>
      </c>
      <c r="H68" s="1" t="s">
        <v>224</v>
      </c>
      <c r="I68" s="1" t="s">
        <v>225</v>
      </c>
      <c r="J68" s="1" t="s">
        <v>226</v>
      </c>
      <c r="K68" s="1" t="s">
        <v>227</v>
      </c>
      <c r="L68" s="2">
        <v>115</v>
      </c>
    </row>
    <row r="69" spans="1:12" x14ac:dyDescent="0.55000000000000004">
      <c r="A69" s="1" t="s">
        <v>209</v>
      </c>
      <c r="B69" s="1" t="s">
        <v>378</v>
      </c>
      <c r="C69" s="1" t="s">
        <v>228</v>
      </c>
      <c r="D69" s="1" t="s">
        <v>358</v>
      </c>
      <c r="E69" s="1" t="s">
        <v>229</v>
      </c>
      <c r="F69" s="1" t="s">
        <v>359</v>
      </c>
      <c r="G69" s="1" t="s">
        <v>230</v>
      </c>
      <c r="H69" s="1"/>
      <c r="I69" s="1"/>
      <c r="J69" s="1"/>
      <c r="K69" s="1"/>
      <c r="L69" s="2">
        <v>116</v>
      </c>
    </row>
    <row r="70" spans="1:12" x14ac:dyDescent="0.55000000000000004">
      <c r="A70" s="1" t="s">
        <v>209</v>
      </c>
      <c r="B70" s="1"/>
      <c r="C70" s="1" t="s">
        <v>231</v>
      </c>
      <c r="D70" s="1" t="s">
        <v>360</v>
      </c>
      <c r="E70" s="1" t="s">
        <v>232</v>
      </c>
      <c r="F70" s="1" t="s">
        <v>361</v>
      </c>
      <c r="G70" s="1" t="s">
        <v>233</v>
      </c>
      <c r="H70" s="1"/>
      <c r="I70" s="1"/>
      <c r="J70" s="1"/>
      <c r="K70" s="1"/>
      <c r="L70" s="2">
        <v>113</v>
      </c>
    </row>
    <row r="71" spans="1:12" x14ac:dyDescent="0.55000000000000004">
      <c r="A71" s="1" t="s">
        <v>209</v>
      </c>
      <c r="B71" s="1" t="s">
        <v>380</v>
      </c>
      <c r="C71" s="1" t="s">
        <v>210</v>
      </c>
      <c r="D71" s="1" t="s">
        <v>353</v>
      </c>
      <c r="E71" s="1" t="s">
        <v>234</v>
      </c>
      <c r="F71" s="1" t="s">
        <v>362</v>
      </c>
      <c r="G71" s="1" t="s">
        <v>235</v>
      </c>
      <c r="H71" s="1" t="s">
        <v>236</v>
      </c>
      <c r="I71" s="1" t="s">
        <v>225</v>
      </c>
      <c r="J71" s="1" t="s">
        <v>237</v>
      </c>
      <c r="K71" s="1" t="s">
        <v>238</v>
      </c>
      <c r="L71" s="2">
        <v>112</v>
      </c>
    </row>
    <row r="72" spans="1:12" x14ac:dyDescent="0.55000000000000004">
      <c r="A72" s="1" t="s">
        <v>206</v>
      </c>
      <c r="B72" s="1" t="s">
        <v>380</v>
      </c>
      <c r="C72" s="1" t="s">
        <v>210</v>
      </c>
      <c r="D72" s="1" t="s">
        <v>353</v>
      </c>
      <c r="E72" s="1" t="s">
        <v>239</v>
      </c>
      <c r="F72" s="1" t="s">
        <v>362</v>
      </c>
      <c r="G72" s="1" t="s">
        <v>240</v>
      </c>
      <c r="H72" s="1"/>
      <c r="I72" s="1"/>
      <c r="J72" s="1"/>
      <c r="K72" s="1"/>
      <c r="L72" s="2">
        <v>158</v>
      </c>
    </row>
    <row r="73" spans="1:12" x14ac:dyDescent="0.55000000000000004">
      <c r="A73" s="1" t="s">
        <v>241</v>
      </c>
      <c r="B73" s="1" t="s">
        <v>380</v>
      </c>
      <c r="C73" s="1" t="s">
        <v>210</v>
      </c>
      <c r="D73" s="1" t="s">
        <v>353</v>
      </c>
      <c r="E73" s="1" t="s">
        <v>242</v>
      </c>
      <c r="F73" s="1" t="s">
        <v>363</v>
      </c>
      <c r="G73" s="1" t="s">
        <v>243</v>
      </c>
      <c r="H73" s="1" t="s">
        <v>136</v>
      </c>
      <c r="I73" s="1" t="s">
        <v>218</v>
      </c>
      <c r="J73" s="1" t="s">
        <v>244</v>
      </c>
      <c r="K73" s="1" t="s">
        <v>245</v>
      </c>
      <c r="L73" s="2">
        <v>131</v>
      </c>
    </row>
    <row r="74" spans="1:12" x14ac:dyDescent="0.55000000000000004">
      <c r="A74" s="1" t="s">
        <v>241</v>
      </c>
      <c r="B74" s="1" t="s">
        <v>380</v>
      </c>
      <c r="C74" s="1" t="s">
        <v>246</v>
      </c>
      <c r="D74" s="1" t="s">
        <v>364</v>
      </c>
      <c r="E74" s="1" t="s">
        <v>247</v>
      </c>
      <c r="F74" s="1" t="s">
        <v>365</v>
      </c>
      <c r="G74" s="1" t="s">
        <v>248</v>
      </c>
      <c r="H74" s="1" t="s">
        <v>113</v>
      </c>
      <c r="I74" s="1" t="s">
        <v>92</v>
      </c>
      <c r="J74" s="1" t="s">
        <v>236</v>
      </c>
      <c r="K74" s="1" t="s">
        <v>249</v>
      </c>
      <c r="L74" s="2">
        <v>136</v>
      </c>
    </row>
    <row r="75" spans="1:12" x14ac:dyDescent="0.55000000000000004">
      <c r="A75" s="1" t="s">
        <v>206</v>
      </c>
      <c r="B75" s="1"/>
      <c r="C75" s="1" t="s">
        <v>231</v>
      </c>
      <c r="D75" s="1" t="s">
        <v>360</v>
      </c>
      <c r="E75" s="1" t="s">
        <v>250</v>
      </c>
      <c r="F75" s="1" t="s">
        <v>366</v>
      </c>
      <c r="G75" s="1" t="s">
        <v>251</v>
      </c>
      <c r="H75" s="1"/>
      <c r="I75" s="1"/>
      <c r="J75" s="1"/>
      <c r="K75" s="1"/>
      <c r="L75" s="2">
        <v>190</v>
      </c>
    </row>
    <row r="76" spans="1:12" x14ac:dyDescent="0.55000000000000004">
      <c r="A76" s="1" t="s">
        <v>252</v>
      </c>
      <c r="B76" s="1" t="s">
        <v>380</v>
      </c>
      <c r="C76" s="1" t="s">
        <v>210</v>
      </c>
      <c r="D76" s="1" t="s">
        <v>353</v>
      </c>
      <c r="E76" s="1" t="s">
        <v>253</v>
      </c>
      <c r="F76" s="1" t="s">
        <v>367</v>
      </c>
      <c r="G76" s="1" t="s">
        <v>254</v>
      </c>
      <c r="H76" s="1" t="s">
        <v>255</v>
      </c>
      <c r="I76" s="1" t="s">
        <v>256</v>
      </c>
      <c r="J76" s="1" t="s">
        <v>257</v>
      </c>
      <c r="K76" s="1" t="s">
        <v>244</v>
      </c>
      <c r="L76" s="2">
        <v>204</v>
      </c>
    </row>
    <row r="77" spans="1:12" x14ac:dyDescent="0.55000000000000004">
      <c r="A77" s="1" t="s">
        <v>241</v>
      </c>
      <c r="B77" s="1" t="s">
        <v>380</v>
      </c>
      <c r="C77" s="1" t="s">
        <v>246</v>
      </c>
      <c r="D77" s="1" t="s">
        <v>364</v>
      </c>
      <c r="E77" s="1" t="s">
        <v>258</v>
      </c>
      <c r="F77" s="1" t="s">
        <v>368</v>
      </c>
      <c r="G77" s="1" t="s">
        <v>259</v>
      </c>
      <c r="H77" s="1" t="s">
        <v>15</v>
      </c>
      <c r="I77" s="1" t="s">
        <v>74</v>
      </c>
      <c r="J77" s="1" t="s">
        <v>74</v>
      </c>
      <c r="K77" s="1" t="s">
        <v>173</v>
      </c>
      <c r="L77" s="2">
        <v>132</v>
      </c>
    </row>
    <row r="78" spans="1:12" x14ac:dyDescent="0.55000000000000004">
      <c r="A78" s="1" t="s">
        <v>241</v>
      </c>
      <c r="B78" s="1"/>
      <c r="C78" s="1" t="s">
        <v>231</v>
      </c>
      <c r="D78" s="1" t="s">
        <v>360</v>
      </c>
      <c r="E78" s="1" t="s">
        <v>260</v>
      </c>
      <c r="F78" s="1" t="s">
        <v>369</v>
      </c>
      <c r="G78" s="1" t="s">
        <v>261</v>
      </c>
      <c r="H78" s="1"/>
      <c r="I78" s="1"/>
      <c r="J78" s="1"/>
      <c r="K78" s="1"/>
      <c r="L78" s="2">
        <v>133</v>
      </c>
    </row>
    <row r="79" spans="1:12" x14ac:dyDescent="0.55000000000000004">
      <c r="A79" s="1" t="s">
        <v>241</v>
      </c>
      <c r="B79" s="1"/>
      <c r="C79" s="1" t="s">
        <v>231</v>
      </c>
      <c r="D79" s="1" t="s">
        <v>360</v>
      </c>
      <c r="E79" s="1" t="s">
        <v>262</v>
      </c>
      <c r="F79" s="1" t="s">
        <v>370</v>
      </c>
      <c r="G79" s="1" t="s">
        <v>263</v>
      </c>
      <c r="H79" s="1"/>
      <c r="I79" s="1"/>
      <c r="J79" s="1"/>
      <c r="K79" s="1"/>
      <c r="L79" s="2">
        <v>134</v>
      </c>
    </row>
    <row r="80" spans="1:12" x14ac:dyDescent="0.55000000000000004">
      <c r="A80" s="1" t="s">
        <v>241</v>
      </c>
      <c r="B80" s="1"/>
      <c r="C80" s="1" t="s">
        <v>231</v>
      </c>
      <c r="D80" s="1" t="s">
        <v>360</v>
      </c>
      <c r="E80" s="1" t="s">
        <v>264</v>
      </c>
      <c r="F80" s="1" t="s">
        <v>371</v>
      </c>
      <c r="G80" s="1" t="s">
        <v>265</v>
      </c>
      <c r="H80" s="1"/>
      <c r="I80" s="1"/>
      <c r="J80" s="1"/>
      <c r="K80" s="1"/>
      <c r="L80" s="2">
        <v>135</v>
      </c>
    </row>
  </sheetData>
  <mergeCells count="5">
    <mergeCell ref="A1:A2"/>
    <mergeCell ref="G1:G2"/>
    <mergeCell ref="H1:K1"/>
    <mergeCell ref="E1:F2"/>
    <mergeCell ref="C1:D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4947-9F62-4ED7-9186-451FA9173714}">
  <dimension ref="A1:S76"/>
  <sheetViews>
    <sheetView tabSelected="1" zoomScale="80" zoomScaleNormal="80" workbookViewId="0">
      <selection activeCell="I2" sqref="I2"/>
    </sheetView>
  </sheetViews>
  <sheetFormatPr defaultRowHeight="18" x14ac:dyDescent="0.55000000000000004"/>
  <cols>
    <col min="1" max="1" width="6.75" style="2" bestFit="1" customWidth="1"/>
    <col min="2" max="2" width="12.83203125" style="2" customWidth="1"/>
    <col min="3" max="3" width="12.75" bestFit="1" customWidth="1"/>
    <col min="4" max="4" width="12.75" customWidth="1"/>
    <col min="5" max="5" width="10.75" bestFit="1" customWidth="1"/>
    <col min="6" max="6" width="10.75" customWidth="1"/>
    <col min="7" max="7" width="23.9140625" bestFit="1" customWidth="1"/>
    <col min="8" max="8" width="23.25" bestFit="1" customWidth="1"/>
    <col min="9" max="9" width="13" customWidth="1"/>
    <col min="10" max="10" width="10.75" bestFit="1" customWidth="1"/>
    <col min="11" max="11" width="11.5" bestFit="1" customWidth="1"/>
  </cols>
  <sheetData>
    <row r="1" spans="1:19" x14ac:dyDescent="0.55000000000000004">
      <c r="A1" s="2" t="s">
        <v>372</v>
      </c>
      <c r="B1" s="1" t="s">
        <v>375</v>
      </c>
      <c r="C1" t="s">
        <v>373</v>
      </c>
      <c r="D1" t="s">
        <v>513</v>
      </c>
      <c r="E1" t="s">
        <v>374</v>
      </c>
      <c r="F1" t="s">
        <v>514</v>
      </c>
      <c r="G1" t="s">
        <v>376</v>
      </c>
      <c r="H1" t="s">
        <v>377</v>
      </c>
      <c r="I1" t="s">
        <v>551</v>
      </c>
      <c r="J1" t="s">
        <v>383</v>
      </c>
      <c r="K1" t="s">
        <v>384</v>
      </c>
      <c r="L1" t="s">
        <v>464</v>
      </c>
      <c r="M1" t="s">
        <v>465</v>
      </c>
      <c r="N1" t="s">
        <v>466</v>
      </c>
      <c r="O1" t="s">
        <v>467</v>
      </c>
      <c r="P1" t="s">
        <v>462</v>
      </c>
      <c r="Q1" t="s">
        <v>463</v>
      </c>
      <c r="R1" t="s">
        <v>460</v>
      </c>
      <c r="S1" t="s">
        <v>461</v>
      </c>
    </row>
    <row r="2" spans="1:19" x14ac:dyDescent="0.55000000000000004">
      <c r="A2" s="2">
        <v>1</v>
      </c>
      <c r="B2" s="1" t="s">
        <v>378</v>
      </c>
      <c r="C2" s="1" t="s">
        <v>11</v>
      </c>
      <c r="D2" s="1" t="s">
        <v>271</v>
      </c>
      <c r="E2" s="1" t="s">
        <v>10</v>
      </c>
      <c r="F2" s="1" t="s">
        <v>270</v>
      </c>
      <c r="G2" s="1" t="s">
        <v>9</v>
      </c>
      <c r="H2" s="1" t="s">
        <v>12</v>
      </c>
      <c r="I2" s="1" t="s">
        <v>516</v>
      </c>
      <c r="J2" s="1">
        <v>34.689166700000001</v>
      </c>
      <c r="K2" s="1">
        <v>135.82749999999999</v>
      </c>
      <c r="L2" s="1" t="s">
        <v>13</v>
      </c>
      <c r="M2" s="1" t="s">
        <v>14</v>
      </c>
      <c r="N2" s="1" t="s">
        <v>14</v>
      </c>
      <c r="O2" s="1" t="s">
        <v>15</v>
      </c>
      <c r="P2" s="5" t="s">
        <v>386</v>
      </c>
      <c r="Q2" s="6" t="s">
        <v>469</v>
      </c>
      <c r="R2" t="str">
        <f>_xlfn.TEXTBEFORE(_xlfn.TEXTAFTER(P2,"ofcCd="),"&amp;")</f>
        <v>7425</v>
      </c>
      <c r="S2" t="str">
        <f>_xlfn.TEXTAFTER(P2,"obsCd=")</f>
        <v>101</v>
      </c>
    </row>
    <row r="3" spans="1:19" x14ac:dyDescent="0.55000000000000004">
      <c r="A3" s="2">
        <v>2</v>
      </c>
      <c r="B3" s="1" t="s">
        <v>378</v>
      </c>
      <c r="C3" s="1" t="s">
        <v>17</v>
      </c>
      <c r="D3" s="1" t="s">
        <v>273</v>
      </c>
      <c r="E3" s="1" t="s">
        <v>16</v>
      </c>
      <c r="F3" s="1" t="s">
        <v>272</v>
      </c>
      <c r="G3" s="1" t="s">
        <v>9</v>
      </c>
      <c r="H3" s="1" t="s">
        <v>18</v>
      </c>
      <c r="I3" s="1" t="s">
        <v>516</v>
      </c>
      <c r="J3" s="1">
        <v>34.704444000000002</v>
      </c>
      <c r="K3" s="1">
        <v>135.78</v>
      </c>
      <c r="L3" s="1" t="s">
        <v>19</v>
      </c>
      <c r="M3" s="1" t="s">
        <v>20</v>
      </c>
      <c r="N3" s="1" t="s">
        <v>20</v>
      </c>
      <c r="O3" s="1" t="s">
        <v>21</v>
      </c>
      <c r="P3" s="5" t="s">
        <v>387</v>
      </c>
      <c r="Q3" s="6" t="s">
        <v>470</v>
      </c>
      <c r="R3" t="str">
        <f t="shared" ref="R3:R64" si="0">_xlfn.TEXTBEFORE(_xlfn.TEXTAFTER(P3,"ofcCd="),"&amp;")</f>
        <v>7425</v>
      </c>
      <c r="S3" t="str">
        <f t="shared" ref="S3:S64" si="1">_xlfn.TEXTAFTER(P3,"obsCd=")</f>
        <v>102</v>
      </c>
    </row>
    <row r="4" spans="1:19" x14ac:dyDescent="0.55000000000000004">
      <c r="A4" s="2">
        <v>3</v>
      </c>
      <c r="B4" s="1" t="s">
        <v>378</v>
      </c>
      <c r="C4" s="1" t="s">
        <v>23</v>
      </c>
      <c r="D4" s="1" t="s">
        <v>275</v>
      </c>
      <c r="E4" s="1" t="s">
        <v>22</v>
      </c>
      <c r="F4" s="1" t="s">
        <v>274</v>
      </c>
      <c r="G4" s="1" t="s">
        <v>9</v>
      </c>
      <c r="H4" s="1" t="s">
        <v>24</v>
      </c>
      <c r="I4" s="1" t="s">
        <v>516</v>
      </c>
      <c r="J4" s="1">
        <v>34.662500000000001</v>
      </c>
      <c r="K4" s="1">
        <v>135.80138890000001</v>
      </c>
      <c r="L4" s="1" t="s">
        <v>25</v>
      </c>
      <c r="M4" s="1" t="s">
        <v>26</v>
      </c>
      <c r="N4" s="1" t="s">
        <v>27</v>
      </c>
      <c r="O4" s="1" t="s">
        <v>28</v>
      </c>
      <c r="P4" s="5" t="s">
        <v>388</v>
      </c>
      <c r="Q4" s="6" t="s">
        <v>471</v>
      </c>
      <c r="R4" t="str">
        <f t="shared" si="0"/>
        <v>7425</v>
      </c>
      <c r="S4" t="str">
        <f t="shared" si="1"/>
        <v>132</v>
      </c>
    </row>
    <row r="5" spans="1:19" x14ac:dyDescent="0.55000000000000004">
      <c r="A5" s="2">
        <v>4</v>
      </c>
      <c r="B5" s="1" t="s">
        <v>378</v>
      </c>
      <c r="C5" s="1" t="s">
        <v>30</v>
      </c>
      <c r="D5" s="1" t="s">
        <v>277</v>
      </c>
      <c r="E5" s="1" t="s">
        <v>29</v>
      </c>
      <c r="F5" s="1" t="s">
        <v>276</v>
      </c>
      <c r="G5" s="1" t="s">
        <v>9</v>
      </c>
      <c r="H5" s="1" t="s">
        <v>31</v>
      </c>
      <c r="I5" s="1" t="s">
        <v>516</v>
      </c>
      <c r="J5" s="1">
        <v>34.666388900000001</v>
      </c>
      <c r="K5" s="1">
        <v>135.8230556</v>
      </c>
      <c r="L5" s="1" t="s">
        <v>32</v>
      </c>
      <c r="M5" s="1" t="s">
        <v>19</v>
      </c>
      <c r="N5" s="1" t="s">
        <v>19</v>
      </c>
      <c r="O5" s="1" t="s">
        <v>33</v>
      </c>
      <c r="P5" s="5" t="s">
        <v>389</v>
      </c>
      <c r="R5" t="str">
        <f t="shared" si="0"/>
        <v>7425</v>
      </c>
      <c r="S5" t="str">
        <f t="shared" si="1"/>
        <v>134</v>
      </c>
    </row>
    <row r="6" spans="1:19" x14ac:dyDescent="0.55000000000000004">
      <c r="A6" s="2">
        <v>5</v>
      </c>
      <c r="B6" s="1" t="s">
        <v>378</v>
      </c>
      <c r="C6" s="1" t="s">
        <v>35</v>
      </c>
      <c r="D6" s="1" t="s">
        <v>279</v>
      </c>
      <c r="E6" s="1" t="s">
        <v>34</v>
      </c>
      <c r="F6" s="1" t="s">
        <v>278</v>
      </c>
      <c r="G6" s="1" t="s">
        <v>9</v>
      </c>
      <c r="H6" s="1" t="s">
        <v>36</v>
      </c>
      <c r="I6" s="1" t="s">
        <v>516</v>
      </c>
      <c r="J6" s="1">
        <v>34.649166700000002</v>
      </c>
      <c r="K6" s="1">
        <v>135.82749999999999</v>
      </c>
      <c r="L6" s="1" t="s">
        <v>13</v>
      </c>
      <c r="M6" s="1" t="s">
        <v>37</v>
      </c>
      <c r="N6" s="1" t="s">
        <v>37</v>
      </c>
      <c r="O6" s="1" t="s">
        <v>33</v>
      </c>
      <c r="P6" s="5" t="s">
        <v>390</v>
      </c>
      <c r="Q6" s="5" t="s">
        <v>472</v>
      </c>
      <c r="R6" t="str">
        <f t="shared" si="0"/>
        <v>7425</v>
      </c>
      <c r="S6" t="str">
        <f t="shared" si="1"/>
        <v>143</v>
      </c>
    </row>
    <row r="7" spans="1:19" x14ac:dyDescent="0.55000000000000004">
      <c r="A7" s="2">
        <v>156</v>
      </c>
      <c r="B7" s="1" t="s">
        <v>379</v>
      </c>
      <c r="C7" s="1" t="s">
        <v>41</v>
      </c>
      <c r="D7" s="1" t="s">
        <v>268</v>
      </c>
      <c r="E7" s="1" t="s">
        <v>40</v>
      </c>
      <c r="F7" s="1" t="s">
        <v>269</v>
      </c>
      <c r="G7" s="1" t="s">
        <v>39</v>
      </c>
      <c r="H7" s="1" t="s">
        <v>515</v>
      </c>
      <c r="I7" s="1" t="s">
        <v>517</v>
      </c>
      <c r="J7" s="1">
        <v>34.643333300000002</v>
      </c>
      <c r="K7" s="1">
        <v>135.96916669999999</v>
      </c>
      <c r="L7" s="1"/>
      <c r="M7" s="1"/>
      <c r="N7" s="1"/>
      <c r="O7" s="1"/>
      <c r="P7" s="4" t="s">
        <v>391</v>
      </c>
      <c r="R7" t="str">
        <f t="shared" si="0"/>
        <v>22067</v>
      </c>
      <c r="S7" t="str">
        <f t="shared" si="1"/>
        <v>10</v>
      </c>
    </row>
    <row r="8" spans="1:19" x14ac:dyDescent="0.55000000000000004">
      <c r="A8" s="2">
        <v>158</v>
      </c>
      <c r="B8" s="1" t="s">
        <v>379</v>
      </c>
      <c r="C8" s="1" t="s">
        <v>43</v>
      </c>
      <c r="D8" s="1" t="s">
        <v>280</v>
      </c>
      <c r="E8" s="1" t="s">
        <v>40</v>
      </c>
      <c r="F8" s="1" t="s">
        <v>269</v>
      </c>
      <c r="G8" s="1" t="s">
        <v>39</v>
      </c>
      <c r="H8" s="1" t="s">
        <v>44</v>
      </c>
      <c r="I8" s="1" t="s">
        <v>518</v>
      </c>
      <c r="J8" s="1">
        <v>34.735277799999999</v>
      </c>
      <c r="K8" s="1">
        <v>135.96805560000001</v>
      </c>
      <c r="L8" s="1"/>
      <c r="M8" s="1"/>
      <c r="N8" s="1"/>
      <c r="O8" s="1"/>
      <c r="P8" s="4" t="s">
        <v>392</v>
      </c>
      <c r="R8" t="str">
        <f t="shared" si="0"/>
        <v>22067</v>
      </c>
      <c r="S8" t="str">
        <f t="shared" si="1"/>
        <v>12</v>
      </c>
    </row>
    <row r="9" spans="1:19" x14ac:dyDescent="0.55000000000000004">
      <c r="A9" s="2">
        <v>29</v>
      </c>
      <c r="B9" s="1" t="s">
        <v>378</v>
      </c>
      <c r="C9" s="1" t="s">
        <v>46</v>
      </c>
      <c r="D9" s="1" t="s">
        <v>282</v>
      </c>
      <c r="E9" s="1" t="s">
        <v>45</v>
      </c>
      <c r="F9" s="1" t="s">
        <v>281</v>
      </c>
      <c r="G9" s="1" t="s">
        <v>9</v>
      </c>
      <c r="H9" s="1" t="s">
        <v>47</v>
      </c>
      <c r="I9" s="1" t="s">
        <v>519</v>
      </c>
      <c r="J9" s="1">
        <v>34.619166700000001</v>
      </c>
      <c r="K9" s="1">
        <v>135.80138890000001</v>
      </c>
      <c r="L9" s="1" t="s">
        <v>48</v>
      </c>
      <c r="M9" s="1" t="s">
        <v>20</v>
      </c>
      <c r="N9" s="1" t="s">
        <v>20</v>
      </c>
      <c r="O9" s="1" t="s">
        <v>21</v>
      </c>
      <c r="P9" s="5" t="s">
        <v>393</v>
      </c>
      <c r="Q9" s="5" t="s">
        <v>473</v>
      </c>
      <c r="R9" t="str">
        <f t="shared" si="0"/>
        <v>7425</v>
      </c>
      <c r="S9" t="str">
        <f t="shared" si="1"/>
        <v>130</v>
      </c>
    </row>
    <row r="10" spans="1:19" x14ac:dyDescent="0.55000000000000004">
      <c r="A10" s="2">
        <v>6</v>
      </c>
      <c r="B10" s="1" t="s">
        <v>378</v>
      </c>
      <c r="C10" s="1" t="s">
        <v>50</v>
      </c>
      <c r="D10" s="1" t="s">
        <v>284</v>
      </c>
      <c r="E10" s="1" t="s">
        <v>49</v>
      </c>
      <c r="F10" s="1" t="s">
        <v>283</v>
      </c>
      <c r="G10" s="1" t="s">
        <v>9</v>
      </c>
      <c r="H10" s="1" t="s">
        <v>51</v>
      </c>
      <c r="I10" s="1" t="s">
        <v>520</v>
      </c>
      <c r="J10" s="1">
        <v>34.597222199999997</v>
      </c>
      <c r="K10" s="1">
        <v>135.83611110000001</v>
      </c>
      <c r="L10" s="1" t="s">
        <v>52</v>
      </c>
      <c r="M10" s="1" t="s">
        <v>15</v>
      </c>
      <c r="N10" s="1" t="s">
        <v>15</v>
      </c>
      <c r="O10" s="1" t="s">
        <v>53</v>
      </c>
      <c r="P10" s="5" t="s">
        <v>394</v>
      </c>
      <c r="Q10" s="6" t="s">
        <v>474</v>
      </c>
      <c r="R10" t="str">
        <f t="shared" si="0"/>
        <v>7425</v>
      </c>
      <c r="S10" t="str">
        <f t="shared" si="1"/>
        <v>127</v>
      </c>
    </row>
    <row r="11" spans="1:19" x14ac:dyDescent="0.55000000000000004">
      <c r="A11" s="2">
        <v>7</v>
      </c>
      <c r="B11" s="1" t="s">
        <v>378</v>
      </c>
      <c r="C11" s="1" t="s">
        <v>54</v>
      </c>
      <c r="D11" s="1" t="s">
        <v>285</v>
      </c>
      <c r="E11" s="1" t="s">
        <v>49</v>
      </c>
      <c r="F11" s="1" t="s">
        <v>283</v>
      </c>
      <c r="G11" s="1" t="s">
        <v>9</v>
      </c>
      <c r="H11" s="1" t="s">
        <v>55</v>
      </c>
      <c r="I11" s="1" t="s">
        <v>520</v>
      </c>
      <c r="J11" s="1">
        <v>34.596388900000001</v>
      </c>
      <c r="K11" s="1">
        <v>135.8713889</v>
      </c>
      <c r="L11" s="1"/>
      <c r="M11" s="1"/>
      <c r="N11" s="1"/>
      <c r="O11" s="1"/>
      <c r="P11" s="4" t="s">
        <v>395</v>
      </c>
      <c r="Q11" s="4" t="s">
        <v>475</v>
      </c>
      <c r="R11" t="str">
        <f t="shared" si="0"/>
        <v>7425</v>
      </c>
      <c r="S11" t="str">
        <f t="shared" si="1"/>
        <v>128</v>
      </c>
    </row>
    <row r="12" spans="1:19" x14ac:dyDescent="0.55000000000000004">
      <c r="A12" s="2">
        <v>154</v>
      </c>
      <c r="B12" s="1" t="s">
        <v>379</v>
      </c>
      <c r="C12" s="1" t="s">
        <v>58</v>
      </c>
      <c r="D12" s="1" t="s">
        <v>287</v>
      </c>
      <c r="E12" s="1" t="s">
        <v>57</v>
      </c>
      <c r="F12" s="1" t="s">
        <v>286</v>
      </c>
      <c r="G12" s="1" t="s">
        <v>56</v>
      </c>
      <c r="H12" s="1" t="s">
        <v>59</v>
      </c>
      <c r="I12" s="1" t="s">
        <v>521</v>
      </c>
      <c r="J12" s="1">
        <v>34.647222200000002</v>
      </c>
      <c r="K12" s="1">
        <v>136.06194439999999</v>
      </c>
      <c r="L12" s="1"/>
      <c r="M12" s="1"/>
      <c r="N12" s="1"/>
      <c r="O12" s="1"/>
      <c r="P12" s="4" t="s">
        <v>396</v>
      </c>
      <c r="R12" t="str">
        <f t="shared" si="0"/>
        <v>22067</v>
      </c>
      <c r="S12" t="str">
        <f t="shared" si="1"/>
        <v>6</v>
      </c>
    </row>
    <row r="13" spans="1:19" x14ac:dyDescent="0.55000000000000004">
      <c r="A13" s="2">
        <v>157</v>
      </c>
      <c r="B13" s="1" t="s">
        <v>379</v>
      </c>
      <c r="C13" s="1" t="s">
        <v>60</v>
      </c>
      <c r="D13" s="1" t="s">
        <v>288</v>
      </c>
      <c r="E13" s="1" t="s">
        <v>40</v>
      </c>
      <c r="F13" s="1" t="s">
        <v>269</v>
      </c>
      <c r="G13" s="1" t="s">
        <v>39</v>
      </c>
      <c r="H13" s="1" t="s">
        <v>61</v>
      </c>
      <c r="I13" s="1" t="s">
        <v>521</v>
      </c>
      <c r="J13" s="1">
        <v>34.675555600000003</v>
      </c>
      <c r="K13" s="1">
        <v>135.97388889999999</v>
      </c>
      <c r="L13" s="1"/>
      <c r="M13" s="1"/>
      <c r="N13" s="1"/>
      <c r="O13" s="1"/>
      <c r="P13" s="4" t="s">
        <v>397</v>
      </c>
      <c r="R13" t="str">
        <f t="shared" si="0"/>
        <v>22067</v>
      </c>
      <c r="S13" t="str">
        <f t="shared" si="1"/>
        <v>11</v>
      </c>
    </row>
    <row r="14" spans="1:19" x14ac:dyDescent="0.55000000000000004">
      <c r="A14" s="2">
        <v>23</v>
      </c>
      <c r="B14" s="1" t="s">
        <v>378</v>
      </c>
      <c r="C14" s="1" t="s">
        <v>64</v>
      </c>
      <c r="D14" s="1" t="s">
        <v>290</v>
      </c>
      <c r="E14" s="1" t="s">
        <v>63</v>
      </c>
      <c r="F14" s="1" t="s">
        <v>289</v>
      </c>
      <c r="G14" s="1" t="s">
        <v>62</v>
      </c>
      <c r="H14" s="1" t="s">
        <v>65</v>
      </c>
      <c r="I14" s="1" t="s">
        <v>516</v>
      </c>
      <c r="J14" s="1">
        <v>34.662222200000002</v>
      </c>
      <c r="K14" s="1">
        <v>135.7622222</v>
      </c>
      <c r="L14" s="1" t="s">
        <v>52</v>
      </c>
      <c r="M14" s="1" t="s">
        <v>66</v>
      </c>
      <c r="N14" s="1" t="s">
        <v>66</v>
      </c>
      <c r="O14" s="1" t="s">
        <v>67</v>
      </c>
      <c r="P14" s="5" t="s">
        <v>398</v>
      </c>
      <c r="R14" t="str">
        <f t="shared" si="0"/>
        <v>7425</v>
      </c>
      <c r="S14" t="str">
        <f t="shared" si="1"/>
        <v>105</v>
      </c>
    </row>
    <row r="15" spans="1:19" x14ac:dyDescent="0.55000000000000004">
      <c r="A15" s="2">
        <v>25</v>
      </c>
      <c r="B15" s="1" t="s">
        <v>378</v>
      </c>
      <c r="C15" s="1" t="s">
        <v>68</v>
      </c>
      <c r="D15" s="1" t="s">
        <v>291</v>
      </c>
      <c r="E15" s="1" t="s">
        <v>34</v>
      </c>
      <c r="F15" s="1" t="s">
        <v>278</v>
      </c>
      <c r="G15" s="1" t="s">
        <v>62</v>
      </c>
      <c r="H15" s="1" t="s">
        <v>69</v>
      </c>
      <c r="I15" s="1" t="s">
        <v>519</v>
      </c>
      <c r="J15" s="1">
        <v>34.647222200000002</v>
      </c>
      <c r="K15" s="1">
        <v>135.80138890000001</v>
      </c>
      <c r="L15" s="1" t="s">
        <v>14</v>
      </c>
      <c r="M15" s="1" t="s">
        <v>53</v>
      </c>
      <c r="N15" s="1" t="s">
        <v>53</v>
      </c>
      <c r="O15" s="1" t="s">
        <v>21</v>
      </c>
      <c r="P15" s="5" t="s">
        <v>385</v>
      </c>
      <c r="Q15" s="5" t="s">
        <v>468</v>
      </c>
      <c r="R15" t="str">
        <f t="shared" si="0"/>
        <v>7425</v>
      </c>
      <c r="S15" t="str">
        <f t="shared" si="1"/>
        <v>135</v>
      </c>
    </row>
    <row r="16" spans="1:19" x14ac:dyDescent="0.55000000000000004">
      <c r="A16" s="2">
        <v>169</v>
      </c>
      <c r="B16" s="1" t="s">
        <v>378</v>
      </c>
      <c r="C16" s="1" t="s">
        <v>71</v>
      </c>
      <c r="D16" s="1" t="s">
        <v>292</v>
      </c>
      <c r="E16" s="1" t="s">
        <v>10</v>
      </c>
      <c r="F16" s="1" t="s">
        <v>270</v>
      </c>
      <c r="G16" s="1" t="s">
        <v>70</v>
      </c>
      <c r="H16" s="1" t="s">
        <v>72</v>
      </c>
      <c r="I16" s="1" t="s">
        <v>519</v>
      </c>
      <c r="J16" s="1">
        <v>34.6245361</v>
      </c>
      <c r="K16" s="1">
        <v>135.79106390000001</v>
      </c>
      <c r="L16" s="1" t="s">
        <v>52</v>
      </c>
      <c r="M16" s="1" t="s">
        <v>73</v>
      </c>
      <c r="N16" s="1" t="s">
        <v>26</v>
      </c>
      <c r="O16" s="1" t="s">
        <v>74</v>
      </c>
      <c r="P16" s="5" t="s">
        <v>399</v>
      </c>
      <c r="Q16" s="6" t="s">
        <v>476</v>
      </c>
      <c r="R16" t="str">
        <f t="shared" si="0"/>
        <v>22069</v>
      </c>
      <c r="S16" t="str">
        <f t="shared" si="1"/>
        <v>1</v>
      </c>
    </row>
    <row r="17" spans="1:19" x14ac:dyDescent="0.55000000000000004">
      <c r="A17" s="2">
        <v>170</v>
      </c>
      <c r="B17" s="1" t="s">
        <v>378</v>
      </c>
      <c r="C17" s="1" t="s">
        <v>76</v>
      </c>
      <c r="D17" s="1" t="s">
        <v>294</v>
      </c>
      <c r="E17" s="1" t="s">
        <v>75</v>
      </c>
      <c r="F17" s="1" t="s">
        <v>293</v>
      </c>
      <c r="G17" s="1" t="s">
        <v>70</v>
      </c>
      <c r="H17" s="1" t="s">
        <v>77</v>
      </c>
      <c r="I17" s="1" t="s">
        <v>519</v>
      </c>
      <c r="J17" s="1">
        <v>34.597680599999997</v>
      </c>
      <c r="K17" s="1">
        <v>135.7693917</v>
      </c>
      <c r="L17" s="1" t="s">
        <v>25</v>
      </c>
      <c r="M17" s="1" t="s">
        <v>78</v>
      </c>
      <c r="N17" s="1" t="s">
        <v>79</v>
      </c>
      <c r="O17" s="1" t="s">
        <v>80</v>
      </c>
      <c r="P17" s="5" t="s">
        <v>400</v>
      </c>
      <c r="Q17" s="6" t="s">
        <v>477</v>
      </c>
      <c r="R17" t="str">
        <f t="shared" si="0"/>
        <v>22069</v>
      </c>
      <c r="S17" t="str">
        <f t="shared" si="1"/>
        <v>2</v>
      </c>
    </row>
    <row r="18" spans="1:19" x14ac:dyDescent="0.55000000000000004">
      <c r="A18" s="2">
        <v>21</v>
      </c>
      <c r="B18" s="1" t="s">
        <v>378</v>
      </c>
      <c r="C18" s="1" t="s">
        <v>82</v>
      </c>
      <c r="D18" s="1" t="s">
        <v>296</v>
      </c>
      <c r="E18" s="1" t="s">
        <v>81</v>
      </c>
      <c r="F18" s="1" t="s">
        <v>295</v>
      </c>
      <c r="G18" s="1" t="s">
        <v>62</v>
      </c>
      <c r="H18" s="1" t="s">
        <v>83</v>
      </c>
      <c r="I18" s="1" t="s">
        <v>522</v>
      </c>
      <c r="J18" s="1">
        <v>34.674999999999997</v>
      </c>
      <c r="K18" s="1">
        <v>135.7069444</v>
      </c>
      <c r="L18" s="1" t="s">
        <v>52</v>
      </c>
      <c r="M18" s="1" t="s">
        <v>67</v>
      </c>
      <c r="N18" s="1" t="s">
        <v>67</v>
      </c>
      <c r="O18" s="1" t="s">
        <v>20</v>
      </c>
      <c r="P18" s="5" t="s">
        <v>401</v>
      </c>
      <c r="Q18" s="6" t="s">
        <v>478</v>
      </c>
      <c r="R18" t="str">
        <f t="shared" si="0"/>
        <v>7425</v>
      </c>
      <c r="S18" t="str">
        <f t="shared" si="1"/>
        <v>103</v>
      </c>
    </row>
    <row r="19" spans="1:19" x14ac:dyDescent="0.55000000000000004">
      <c r="A19" s="2">
        <v>24</v>
      </c>
      <c r="B19" s="1" t="s">
        <v>378</v>
      </c>
      <c r="C19" s="1" t="s">
        <v>84</v>
      </c>
      <c r="D19" s="1" t="s">
        <v>297</v>
      </c>
      <c r="E19" s="1" t="s">
        <v>63</v>
      </c>
      <c r="F19" s="1" t="s">
        <v>289</v>
      </c>
      <c r="G19" s="1" t="s">
        <v>62</v>
      </c>
      <c r="H19" s="1" t="s">
        <v>85</v>
      </c>
      <c r="I19" s="1" t="s">
        <v>522</v>
      </c>
      <c r="J19" s="1">
        <v>34.736944399999999</v>
      </c>
      <c r="K19" s="1">
        <v>135.7222222</v>
      </c>
      <c r="L19" s="1" t="s">
        <v>86</v>
      </c>
      <c r="M19" s="1" t="s">
        <v>48</v>
      </c>
      <c r="N19" s="1" t="s">
        <v>53</v>
      </c>
      <c r="O19" s="1" t="s">
        <v>21</v>
      </c>
      <c r="P19" s="5" t="s">
        <v>402</v>
      </c>
      <c r="R19" t="str">
        <f t="shared" si="0"/>
        <v>7425</v>
      </c>
      <c r="S19" t="str">
        <f t="shared" si="1"/>
        <v>106</v>
      </c>
    </row>
    <row r="20" spans="1:19" x14ac:dyDescent="0.55000000000000004">
      <c r="A20" s="2">
        <v>27</v>
      </c>
      <c r="B20" s="1" t="s">
        <v>378</v>
      </c>
      <c r="C20" s="1" t="s">
        <v>87</v>
      </c>
      <c r="D20" s="1" t="s">
        <v>298</v>
      </c>
      <c r="E20" s="1" t="s">
        <v>81</v>
      </c>
      <c r="F20" s="1" t="s">
        <v>295</v>
      </c>
      <c r="G20" s="1" t="s">
        <v>62</v>
      </c>
      <c r="H20" s="1" t="s">
        <v>88</v>
      </c>
      <c r="I20" s="1" t="s">
        <v>522</v>
      </c>
      <c r="J20" s="1">
        <v>34.694722200000001</v>
      </c>
      <c r="K20" s="1">
        <v>135.70249999999999</v>
      </c>
      <c r="L20" s="1" t="s">
        <v>89</v>
      </c>
      <c r="M20" s="1" t="s">
        <v>19</v>
      </c>
      <c r="N20" s="1" t="s">
        <v>19</v>
      </c>
      <c r="O20" s="1" t="s">
        <v>66</v>
      </c>
      <c r="P20" s="5" t="s">
        <v>403</v>
      </c>
      <c r="Q20" s="5" t="s">
        <v>479</v>
      </c>
      <c r="R20" t="str">
        <f t="shared" si="0"/>
        <v>7425</v>
      </c>
      <c r="S20" t="str">
        <f t="shared" si="1"/>
        <v>144</v>
      </c>
    </row>
    <row r="21" spans="1:19" x14ac:dyDescent="0.55000000000000004">
      <c r="A21" s="2">
        <v>22</v>
      </c>
      <c r="B21" s="1" t="s">
        <v>378</v>
      </c>
      <c r="C21" s="1" t="s">
        <v>90</v>
      </c>
      <c r="D21" s="1" t="s">
        <v>299</v>
      </c>
      <c r="E21" s="1" t="s">
        <v>81</v>
      </c>
      <c r="F21" s="1" t="s">
        <v>295</v>
      </c>
      <c r="G21" s="1" t="s">
        <v>62</v>
      </c>
      <c r="H21" s="1" t="s">
        <v>91</v>
      </c>
      <c r="I21" s="1" t="s">
        <v>523</v>
      </c>
      <c r="J21" s="1">
        <v>34.627222199999999</v>
      </c>
      <c r="K21" s="1">
        <v>135.7041667</v>
      </c>
      <c r="L21" s="1" t="s">
        <v>19</v>
      </c>
      <c r="M21" s="1" t="s">
        <v>21</v>
      </c>
      <c r="N21" s="1" t="s">
        <v>79</v>
      </c>
      <c r="O21" s="1" t="s">
        <v>92</v>
      </c>
      <c r="P21" s="5" t="s">
        <v>404</v>
      </c>
      <c r="Q21" s="4"/>
      <c r="R21" t="str">
        <f t="shared" si="0"/>
        <v>7425</v>
      </c>
      <c r="S21" t="str">
        <f t="shared" si="1"/>
        <v>104</v>
      </c>
    </row>
    <row r="22" spans="1:19" x14ac:dyDescent="0.55000000000000004">
      <c r="A22" s="2">
        <v>28</v>
      </c>
      <c r="B22" s="1" t="s">
        <v>378</v>
      </c>
      <c r="C22" s="1" t="s">
        <v>94</v>
      </c>
      <c r="D22" s="1" t="s">
        <v>301</v>
      </c>
      <c r="E22" s="1" t="s">
        <v>93</v>
      </c>
      <c r="F22" s="1" t="s">
        <v>300</v>
      </c>
      <c r="G22" s="1" t="s">
        <v>62</v>
      </c>
      <c r="H22" s="1" t="s">
        <v>95</v>
      </c>
      <c r="I22" s="1" t="s">
        <v>524</v>
      </c>
      <c r="J22" s="1">
        <v>34.589722199999997</v>
      </c>
      <c r="K22" s="1">
        <v>135.68833330000001</v>
      </c>
      <c r="L22" s="1"/>
      <c r="M22" s="1"/>
      <c r="N22" s="1"/>
      <c r="O22" s="1"/>
      <c r="P22" s="4" t="s">
        <v>405</v>
      </c>
      <c r="Q22" s="4" t="s">
        <v>480</v>
      </c>
      <c r="R22" t="str">
        <f t="shared" si="0"/>
        <v>7425</v>
      </c>
      <c r="S22" t="str">
        <f t="shared" si="1"/>
        <v>137</v>
      </c>
    </row>
    <row r="23" spans="1:19" x14ac:dyDescent="0.55000000000000004">
      <c r="A23" s="2">
        <v>173</v>
      </c>
      <c r="B23" s="1" t="s">
        <v>378</v>
      </c>
      <c r="C23" s="1" t="s">
        <v>96</v>
      </c>
      <c r="D23" s="1" t="s">
        <v>302</v>
      </c>
      <c r="E23" s="1" t="s">
        <v>75</v>
      </c>
      <c r="F23" s="1" t="s">
        <v>293</v>
      </c>
      <c r="G23" s="1" t="s">
        <v>70</v>
      </c>
      <c r="H23" s="1" t="s">
        <v>97</v>
      </c>
      <c r="I23" s="1" t="s">
        <v>524</v>
      </c>
      <c r="J23" s="1">
        <v>34.599130600000002</v>
      </c>
      <c r="K23" s="1">
        <v>135.70888059999999</v>
      </c>
      <c r="L23" s="1" t="s">
        <v>78</v>
      </c>
      <c r="M23" s="1" t="s">
        <v>98</v>
      </c>
      <c r="N23" s="1"/>
      <c r="O23" s="1"/>
      <c r="P23" s="4" t="s">
        <v>406</v>
      </c>
      <c r="Q23" s="6" t="s">
        <v>485</v>
      </c>
      <c r="R23" t="str">
        <f t="shared" si="0"/>
        <v>22069</v>
      </c>
      <c r="S23" t="str">
        <f t="shared" si="1"/>
        <v>5</v>
      </c>
    </row>
    <row r="24" spans="1:19" x14ac:dyDescent="0.55000000000000004">
      <c r="A24" s="2">
        <v>26</v>
      </c>
      <c r="B24" s="1" t="s">
        <v>378</v>
      </c>
      <c r="C24" s="1" t="s">
        <v>99</v>
      </c>
      <c r="D24" s="1" t="s">
        <v>303</v>
      </c>
      <c r="E24" s="1" t="s">
        <v>63</v>
      </c>
      <c r="F24" s="1" t="s">
        <v>289</v>
      </c>
      <c r="G24" s="1" t="s">
        <v>62</v>
      </c>
      <c r="H24" s="1" t="s">
        <v>100</v>
      </c>
      <c r="I24" s="1" t="s">
        <v>525</v>
      </c>
      <c r="J24" s="1">
        <v>34.613055600000003</v>
      </c>
      <c r="K24" s="1">
        <v>135.74861110000001</v>
      </c>
      <c r="L24" s="1" t="s">
        <v>33</v>
      </c>
      <c r="M24" s="1" t="s">
        <v>20</v>
      </c>
      <c r="N24" s="1" t="s">
        <v>20</v>
      </c>
      <c r="O24" s="1" t="s">
        <v>101</v>
      </c>
      <c r="P24" s="5" t="s">
        <v>407</v>
      </c>
      <c r="Q24" s="5" t="s">
        <v>481</v>
      </c>
      <c r="R24" t="str">
        <f t="shared" si="0"/>
        <v>7425</v>
      </c>
      <c r="S24" t="str">
        <f t="shared" si="1"/>
        <v>138</v>
      </c>
    </row>
    <row r="25" spans="1:19" x14ac:dyDescent="0.55000000000000004">
      <c r="A25" s="2">
        <v>41</v>
      </c>
      <c r="B25" s="1" t="s">
        <v>378</v>
      </c>
      <c r="C25" s="1" t="s">
        <v>104</v>
      </c>
      <c r="D25" s="1" t="s">
        <v>305</v>
      </c>
      <c r="E25" s="1" t="s">
        <v>103</v>
      </c>
      <c r="F25" s="1" t="s">
        <v>304</v>
      </c>
      <c r="G25" s="1" t="s">
        <v>102</v>
      </c>
      <c r="H25" s="1" t="s">
        <v>105</v>
      </c>
      <c r="I25" s="1" t="s">
        <v>526</v>
      </c>
      <c r="J25" s="1">
        <v>34.523611099999997</v>
      </c>
      <c r="K25" s="1">
        <v>135.73750000000001</v>
      </c>
      <c r="L25" s="1" t="s">
        <v>67</v>
      </c>
      <c r="M25" s="1" t="s">
        <v>101</v>
      </c>
      <c r="N25" s="1" t="s">
        <v>101</v>
      </c>
      <c r="O25" s="1" t="s">
        <v>78</v>
      </c>
      <c r="P25" s="5" t="s">
        <v>408</v>
      </c>
      <c r="Q25" s="6" t="s">
        <v>484</v>
      </c>
      <c r="R25" t="str">
        <f t="shared" si="0"/>
        <v>7425</v>
      </c>
      <c r="S25" t="str">
        <f t="shared" si="1"/>
        <v>107</v>
      </c>
    </row>
    <row r="26" spans="1:19" x14ac:dyDescent="0.55000000000000004">
      <c r="A26" s="2">
        <v>44</v>
      </c>
      <c r="B26" s="1" t="s">
        <v>378</v>
      </c>
      <c r="C26" s="1" t="s">
        <v>107</v>
      </c>
      <c r="D26" s="1" t="s">
        <v>307</v>
      </c>
      <c r="E26" s="1" t="s">
        <v>106</v>
      </c>
      <c r="F26" s="1" t="s">
        <v>306</v>
      </c>
      <c r="G26" s="1" t="s">
        <v>102</v>
      </c>
      <c r="H26" s="1" t="s">
        <v>108</v>
      </c>
      <c r="I26" s="1" t="s">
        <v>527</v>
      </c>
      <c r="J26" s="1">
        <v>34.462777799999998</v>
      </c>
      <c r="K26" s="1">
        <v>135.74055559999999</v>
      </c>
      <c r="L26" s="1" t="s">
        <v>37</v>
      </c>
      <c r="M26" s="1" t="s">
        <v>67</v>
      </c>
      <c r="N26" s="1" t="s">
        <v>67</v>
      </c>
      <c r="O26" s="1" t="s">
        <v>109</v>
      </c>
      <c r="P26" s="5" t="s">
        <v>409</v>
      </c>
      <c r="R26" t="str">
        <f t="shared" si="0"/>
        <v>7425</v>
      </c>
      <c r="S26" t="str">
        <f t="shared" si="1"/>
        <v>145</v>
      </c>
    </row>
    <row r="27" spans="1:19" x14ac:dyDescent="0.55000000000000004">
      <c r="A27" s="2">
        <v>45</v>
      </c>
      <c r="B27" s="1" t="s">
        <v>378</v>
      </c>
      <c r="C27" s="1" t="s">
        <v>111</v>
      </c>
      <c r="D27" s="1" t="s">
        <v>309</v>
      </c>
      <c r="E27" s="1" t="s">
        <v>110</v>
      </c>
      <c r="F27" s="1" t="s">
        <v>308</v>
      </c>
      <c r="G27" s="1" t="s">
        <v>102</v>
      </c>
      <c r="H27" s="1" t="s">
        <v>112</v>
      </c>
      <c r="I27" s="1" t="s">
        <v>527</v>
      </c>
      <c r="J27" s="1">
        <v>34.417777800000003</v>
      </c>
      <c r="K27" s="1">
        <v>135.75</v>
      </c>
      <c r="L27" s="1" t="s">
        <v>19</v>
      </c>
      <c r="M27" s="1" t="s">
        <v>67</v>
      </c>
      <c r="N27" s="1" t="s">
        <v>25</v>
      </c>
      <c r="O27" s="1" t="s">
        <v>113</v>
      </c>
      <c r="P27" s="5" t="s">
        <v>410</v>
      </c>
      <c r="R27" t="str">
        <f t="shared" si="0"/>
        <v>7425</v>
      </c>
      <c r="S27" t="str">
        <f t="shared" si="1"/>
        <v>146</v>
      </c>
    </row>
    <row r="28" spans="1:19" x14ac:dyDescent="0.55000000000000004">
      <c r="A28" s="2">
        <v>42</v>
      </c>
      <c r="B28" s="1" t="s">
        <v>378</v>
      </c>
      <c r="C28" s="1" t="s">
        <v>115</v>
      </c>
      <c r="D28" s="1" t="s">
        <v>311</v>
      </c>
      <c r="E28" s="1" t="s">
        <v>114</v>
      </c>
      <c r="F28" s="1" t="s">
        <v>310</v>
      </c>
      <c r="G28" s="1" t="s">
        <v>102</v>
      </c>
      <c r="H28" s="1" t="s">
        <v>116</v>
      </c>
      <c r="I28" s="1" t="s">
        <v>528</v>
      </c>
      <c r="J28" s="1">
        <v>34.558333300000001</v>
      </c>
      <c r="K28" s="1">
        <v>135.7055556</v>
      </c>
      <c r="L28" s="1" t="s">
        <v>48</v>
      </c>
      <c r="M28" s="1" t="s">
        <v>113</v>
      </c>
      <c r="N28" s="1" t="s">
        <v>117</v>
      </c>
      <c r="O28" s="1" t="s">
        <v>80</v>
      </c>
      <c r="P28" s="5" t="s">
        <v>411</v>
      </c>
      <c r="Q28" s="5" t="s">
        <v>482</v>
      </c>
      <c r="R28" t="str">
        <f t="shared" si="0"/>
        <v>7425</v>
      </c>
      <c r="S28" t="str">
        <f t="shared" si="1"/>
        <v>108</v>
      </c>
    </row>
    <row r="29" spans="1:19" x14ac:dyDescent="0.55000000000000004">
      <c r="A29" s="2">
        <v>46</v>
      </c>
      <c r="B29" s="1" t="s">
        <v>378</v>
      </c>
      <c r="C29" s="1" t="s">
        <v>118</v>
      </c>
      <c r="D29" s="1" t="s">
        <v>312</v>
      </c>
      <c r="E29" s="1" t="s">
        <v>114</v>
      </c>
      <c r="F29" s="1" t="s">
        <v>310</v>
      </c>
      <c r="G29" s="1" t="s">
        <v>102</v>
      </c>
      <c r="H29" s="1" t="s">
        <v>119</v>
      </c>
      <c r="I29" s="1" t="s">
        <v>528</v>
      </c>
      <c r="J29" s="1">
        <v>34.5380556</v>
      </c>
      <c r="K29" s="1">
        <v>135.71805560000001</v>
      </c>
      <c r="L29" s="1" t="s">
        <v>89</v>
      </c>
      <c r="M29" s="1" t="s">
        <v>19</v>
      </c>
      <c r="N29" s="1" t="s">
        <v>14</v>
      </c>
      <c r="O29" s="1" t="s">
        <v>66</v>
      </c>
      <c r="P29" s="5" t="s">
        <v>412</v>
      </c>
      <c r="Q29" s="6" t="s">
        <v>483</v>
      </c>
      <c r="R29" t="str">
        <f t="shared" si="0"/>
        <v>7425</v>
      </c>
      <c r="S29" t="str">
        <f t="shared" si="1"/>
        <v>147</v>
      </c>
    </row>
    <row r="30" spans="1:19" x14ac:dyDescent="0.55000000000000004">
      <c r="A30" s="2">
        <v>174</v>
      </c>
      <c r="B30" s="1" t="s">
        <v>378</v>
      </c>
      <c r="C30" s="1" t="s">
        <v>120</v>
      </c>
      <c r="D30" s="1" t="s">
        <v>313</v>
      </c>
      <c r="E30" s="1" t="s">
        <v>75</v>
      </c>
      <c r="F30" s="1" t="s">
        <v>293</v>
      </c>
      <c r="G30" s="1" t="s">
        <v>70</v>
      </c>
      <c r="H30" s="1" t="s">
        <v>381</v>
      </c>
      <c r="I30" s="1" t="s">
        <v>529</v>
      </c>
      <c r="J30" s="1">
        <v>34.585983300000002</v>
      </c>
      <c r="K30" s="1">
        <v>135.68451110000001</v>
      </c>
      <c r="L30" s="1" t="s">
        <v>122</v>
      </c>
      <c r="M30" s="1" t="s">
        <v>123</v>
      </c>
      <c r="N30" s="1"/>
      <c r="O30" s="1"/>
      <c r="P30" s="4" t="s">
        <v>413</v>
      </c>
      <c r="Q30" s="6" t="s">
        <v>486</v>
      </c>
      <c r="R30" t="str">
        <f t="shared" si="0"/>
        <v>22069</v>
      </c>
      <c r="S30" t="str">
        <f t="shared" si="1"/>
        <v>6</v>
      </c>
    </row>
    <row r="31" spans="1:19" x14ac:dyDescent="0.55000000000000004">
      <c r="A31" s="2">
        <v>43</v>
      </c>
      <c r="B31" s="1" t="s">
        <v>378</v>
      </c>
      <c r="C31" s="1" t="s">
        <v>124</v>
      </c>
      <c r="D31" s="1" t="s">
        <v>314</v>
      </c>
      <c r="E31" s="1" t="s">
        <v>106</v>
      </c>
      <c r="F31" s="1" t="s">
        <v>306</v>
      </c>
      <c r="G31" s="1" t="s">
        <v>102</v>
      </c>
      <c r="H31" s="1" t="s">
        <v>382</v>
      </c>
      <c r="I31" s="1" t="s">
        <v>530</v>
      </c>
      <c r="J31" s="1">
        <v>34.559444399999997</v>
      </c>
      <c r="K31" s="1">
        <v>135.75416670000001</v>
      </c>
      <c r="L31" s="1" t="s">
        <v>20</v>
      </c>
      <c r="M31" s="1" t="s">
        <v>113</v>
      </c>
      <c r="N31" s="1" t="s">
        <v>113</v>
      </c>
      <c r="O31" s="1" t="s">
        <v>79</v>
      </c>
      <c r="P31" s="5" t="s">
        <v>414</v>
      </c>
      <c r="R31" t="str">
        <f t="shared" si="0"/>
        <v>7425</v>
      </c>
      <c r="S31" t="str">
        <f t="shared" si="1"/>
        <v>109</v>
      </c>
    </row>
    <row r="32" spans="1:19" x14ac:dyDescent="0.55000000000000004">
      <c r="A32" s="2">
        <v>47</v>
      </c>
      <c r="B32" s="1" t="s">
        <v>378</v>
      </c>
      <c r="C32" s="1" t="s">
        <v>126</v>
      </c>
      <c r="D32" s="1" t="s">
        <v>315</v>
      </c>
      <c r="E32" s="1" t="s">
        <v>114</v>
      </c>
      <c r="F32" s="1" t="s">
        <v>310</v>
      </c>
      <c r="G32" s="1" t="s">
        <v>102</v>
      </c>
      <c r="H32" s="1" t="s">
        <v>127</v>
      </c>
      <c r="I32" s="1" t="s">
        <v>531</v>
      </c>
      <c r="J32" s="1">
        <v>34.587222199999999</v>
      </c>
      <c r="K32" s="1">
        <v>135.7091667</v>
      </c>
      <c r="L32" s="1" t="s">
        <v>25</v>
      </c>
      <c r="M32" s="1" t="s">
        <v>128</v>
      </c>
      <c r="N32" s="1" t="s">
        <v>122</v>
      </c>
      <c r="O32" s="1" t="s">
        <v>98</v>
      </c>
      <c r="P32" s="5" t="s">
        <v>415</v>
      </c>
      <c r="Q32" s="5" t="s">
        <v>487</v>
      </c>
      <c r="R32" t="str">
        <f t="shared" si="0"/>
        <v>7425</v>
      </c>
      <c r="S32" t="str">
        <f t="shared" si="1"/>
        <v>148</v>
      </c>
    </row>
    <row r="33" spans="1:19" x14ac:dyDescent="0.55000000000000004">
      <c r="A33" s="2">
        <v>172</v>
      </c>
      <c r="B33" s="1" t="s">
        <v>378</v>
      </c>
      <c r="C33" s="1" t="s">
        <v>129</v>
      </c>
      <c r="D33" s="1" t="s">
        <v>316</v>
      </c>
      <c r="E33" s="1" t="s">
        <v>75</v>
      </c>
      <c r="F33" s="1" t="s">
        <v>293</v>
      </c>
      <c r="G33" s="1" t="s">
        <v>70</v>
      </c>
      <c r="H33" s="1" t="s">
        <v>130</v>
      </c>
      <c r="I33" s="1" t="s">
        <v>531</v>
      </c>
      <c r="J33" s="1">
        <v>34.587222199999999</v>
      </c>
      <c r="K33" s="1">
        <v>135.7091667</v>
      </c>
      <c r="L33" s="1" t="s">
        <v>25</v>
      </c>
      <c r="M33" s="1" t="s">
        <v>78</v>
      </c>
      <c r="N33" s="1"/>
      <c r="O33" s="1"/>
      <c r="P33" s="4" t="s">
        <v>416</v>
      </c>
      <c r="Q33" s="5" t="s">
        <v>488</v>
      </c>
      <c r="R33" t="str">
        <f t="shared" si="0"/>
        <v>7425</v>
      </c>
      <c r="S33" t="str">
        <f t="shared" si="1"/>
        <v>148</v>
      </c>
    </row>
    <row r="34" spans="1:19" x14ac:dyDescent="0.55000000000000004">
      <c r="A34" s="2">
        <v>68</v>
      </c>
      <c r="B34" s="1" t="s">
        <v>378</v>
      </c>
      <c r="C34" s="1" t="s">
        <v>132</v>
      </c>
      <c r="D34" s="1" t="s">
        <v>302</v>
      </c>
      <c r="E34" s="1" t="s">
        <v>75</v>
      </c>
      <c r="F34" s="1" t="s">
        <v>293</v>
      </c>
      <c r="G34" s="1" t="s">
        <v>131</v>
      </c>
      <c r="H34" s="1" t="s">
        <v>133</v>
      </c>
      <c r="I34" s="1" t="s">
        <v>520</v>
      </c>
      <c r="J34" s="1">
        <v>34.586666700000002</v>
      </c>
      <c r="K34" s="1">
        <v>135.79527780000001</v>
      </c>
      <c r="L34" s="1" t="s">
        <v>15</v>
      </c>
      <c r="M34" s="1" t="s">
        <v>109</v>
      </c>
      <c r="N34" s="1" t="s">
        <v>101</v>
      </c>
      <c r="O34" s="1" t="s">
        <v>117</v>
      </c>
      <c r="P34" s="5" t="s">
        <v>417</v>
      </c>
      <c r="Q34" s="6" t="s">
        <v>489</v>
      </c>
      <c r="R34" t="str">
        <f t="shared" si="0"/>
        <v>7425</v>
      </c>
      <c r="S34" t="str">
        <f t="shared" si="1"/>
        <v>117</v>
      </c>
    </row>
    <row r="35" spans="1:19" x14ac:dyDescent="0.55000000000000004">
      <c r="A35" s="2">
        <v>61</v>
      </c>
      <c r="B35" s="1" t="s">
        <v>378</v>
      </c>
      <c r="C35" s="1" t="s">
        <v>134</v>
      </c>
      <c r="D35" s="1" t="s">
        <v>317</v>
      </c>
      <c r="E35" s="1" t="s">
        <v>106</v>
      </c>
      <c r="F35" s="1" t="s">
        <v>306</v>
      </c>
      <c r="G35" s="1" t="s">
        <v>131</v>
      </c>
      <c r="H35" s="1" t="s">
        <v>135</v>
      </c>
      <c r="I35" s="1" t="s">
        <v>532</v>
      </c>
      <c r="J35" s="3">
        <v>34.511944399999997</v>
      </c>
      <c r="K35" s="1">
        <v>135.7586111</v>
      </c>
      <c r="L35" s="1" t="s">
        <v>53</v>
      </c>
      <c r="M35" s="1" t="s">
        <v>73</v>
      </c>
      <c r="N35" s="1" t="s">
        <v>113</v>
      </c>
      <c r="O35" s="1" t="s">
        <v>136</v>
      </c>
      <c r="P35" s="5" t="s">
        <v>418</v>
      </c>
      <c r="Q35" s="6" t="s">
        <v>490</v>
      </c>
      <c r="R35" t="str">
        <f t="shared" si="0"/>
        <v>7425</v>
      </c>
      <c r="S35" t="str">
        <f t="shared" si="1"/>
        <v>110</v>
      </c>
    </row>
    <row r="36" spans="1:19" x14ac:dyDescent="0.55000000000000004">
      <c r="A36" s="2">
        <v>62</v>
      </c>
      <c r="B36" s="1" t="s">
        <v>378</v>
      </c>
      <c r="C36" s="1" t="s">
        <v>137</v>
      </c>
      <c r="D36" s="1" t="s">
        <v>318</v>
      </c>
      <c r="E36" s="1" t="s">
        <v>110</v>
      </c>
      <c r="F36" s="1" t="s">
        <v>308</v>
      </c>
      <c r="G36" s="1" t="s">
        <v>131</v>
      </c>
      <c r="H36" s="1" t="s">
        <v>138</v>
      </c>
      <c r="I36" s="1" t="s">
        <v>532</v>
      </c>
      <c r="J36" s="1">
        <v>34.511111100000001</v>
      </c>
      <c r="K36" s="1">
        <v>135.7738889</v>
      </c>
      <c r="L36" s="1" t="s">
        <v>37</v>
      </c>
      <c r="M36" s="1" t="s">
        <v>101</v>
      </c>
      <c r="N36" s="1" t="s">
        <v>136</v>
      </c>
      <c r="O36" s="1" t="s">
        <v>117</v>
      </c>
      <c r="P36" s="5" t="s">
        <v>419</v>
      </c>
      <c r="R36" t="str">
        <f t="shared" si="0"/>
        <v>7425</v>
      </c>
      <c r="S36" t="str">
        <f t="shared" si="1"/>
        <v>111</v>
      </c>
    </row>
    <row r="37" spans="1:19" x14ac:dyDescent="0.55000000000000004">
      <c r="A37" s="2">
        <v>64</v>
      </c>
      <c r="B37" s="1" t="s">
        <v>378</v>
      </c>
      <c r="C37" s="1" t="s">
        <v>140</v>
      </c>
      <c r="D37" s="1" t="s">
        <v>320</v>
      </c>
      <c r="E37" s="1" t="s">
        <v>139</v>
      </c>
      <c r="F37" s="1" t="s">
        <v>319</v>
      </c>
      <c r="G37" s="1" t="s">
        <v>131</v>
      </c>
      <c r="H37" s="1" t="s">
        <v>141</v>
      </c>
      <c r="I37" s="1" t="s">
        <v>532</v>
      </c>
      <c r="J37" s="1">
        <v>34.487777800000003</v>
      </c>
      <c r="K37" s="1">
        <v>135.77722220000001</v>
      </c>
      <c r="L37" s="1" t="s">
        <v>66</v>
      </c>
      <c r="M37" s="1" t="s">
        <v>113</v>
      </c>
      <c r="N37" s="1" t="s">
        <v>113</v>
      </c>
      <c r="O37" s="1" t="s">
        <v>136</v>
      </c>
      <c r="P37" s="5" t="s">
        <v>420</v>
      </c>
      <c r="R37" t="str">
        <f t="shared" si="0"/>
        <v>7425</v>
      </c>
      <c r="S37" t="str">
        <f t="shared" si="1"/>
        <v>113</v>
      </c>
    </row>
    <row r="38" spans="1:19" x14ac:dyDescent="0.55000000000000004">
      <c r="A38" s="2">
        <v>65</v>
      </c>
      <c r="B38" s="1" t="s">
        <v>378</v>
      </c>
      <c r="C38" s="1" t="s">
        <v>143</v>
      </c>
      <c r="D38" s="1" t="s">
        <v>322</v>
      </c>
      <c r="E38" s="1" t="s">
        <v>142</v>
      </c>
      <c r="F38" s="1" t="s">
        <v>321</v>
      </c>
      <c r="G38" s="1" t="s">
        <v>131</v>
      </c>
      <c r="H38" s="1" t="s">
        <v>144</v>
      </c>
      <c r="I38" s="1" t="s">
        <v>532</v>
      </c>
      <c r="J38" s="3">
        <v>34.506388899999997</v>
      </c>
      <c r="K38" s="1">
        <v>135.79277780000001</v>
      </c>
      <c r="L38" s="1" t="s">
        <v>15</v>
      </c>
      <c r="M38" s="1" t="s">
        <v>26</v>
      </c>
      <c r="N38" s="1" t="s">
        <v>26</v>
      </c>
      <c r="O38" s="1" t="s">
        <v>145</v>
      </c>
      <c r="P38" s="5" t="s">
        <v>421</v>
      </c>
      <c r="Q38" s="5" t="s">
        <v>491</v>
      </c>
      <c r="R38" t="str">
        <f t="shared" si="0"/>
        <v>7425</v>
      </c>
      <c r="S38" t="str">
        <f t="shared" si="1"/>
        <v>114</v>
      </c>
    </row>
    <row r="39" spans="1:19" x14ac:dyDescent="0.55000000000000004">
      <c r="A39" s="2">
        <v>67</v>
      </c>
      <c r="B39" s="1" t="s">
        <v>378</v>
      </c>
      <c r="C39" s="1" t="s">
        <v>147</v>
      </c>
      <c r="D39" s="1" t="s">
        <v>324</v>
      </c>
      <c r="E39" s="1" t="s">
        <v>146</v>
      </c>
      <c r="F39" s="1" t="s">
        <v>323</v>
      </c>
      <c r="G39" s="1" t="s">
        <v>131</v>
      </c>
      <c r="H39" s="1" t="s">
        <v>148</v>
      </c>
      <c r="I39" s="1" t="s">
        <v>532</v>
      </c>
      <c r="J39" s="1">
        <v>34.528611099999999</v>
      </c>
      <c r="K39" s="1">
        <v>135.80333329999999</v>
      </c>
      <c r="L39" s="1" t="s">
        <v>19</v>
      </c>
      <c r="M39" s="1" t="s">
        <v>67</v>
      </c>
      <c r="N39" s="1" t="s">
        <v>67</v>
      </c>
      <c r="O39" s="1" t="s">
        <v>109</v>
      </c>
      <c r="P39" s="5" t="s">
        <v>422</v>
      </c>
      <c r="R39" t="str">
        <f t="shared" si="0"/>
        <v>7425</v>
      </c>
      <c r="S39" t="str">
        <f t="shared" si="1"/>
        <v>116</v>
      </c>
    </row>
    <row r="40" spans="1:19" x14ac:dyDescent="0.55000000000000004">
      <c r="A40" s="2">
        <v>71</v>
      </c>
      <c r="B40" s="1" t="s">
        <v>378</v>
      </c>
      <c r="C40" s="1" t="s">
        <v>150</v>
      </c>
      <c r="D40" s="1" t="s">
        <v>326</v>
      </c>
      <c r="E40" s="1" t="s">
        <v>149</v>
      </c>
      <c r="F40" s="1" t="s">
        <v>325</v>
      </c>
      <c r="G40" s="1" t="s">
        <v>131</v>
      </c>
      <c r="H40" s="1" t="s">
        <v>151</v>
      </c>
      <c r="I40" s="1" t="s">
        <v>532</v>
      </c>
      <c r="J40" s="1">
        <v>34.517222199999999</v>
      </c>
      <c r="K40" s="1">
        <v>135.7980556</v>
      </c>
      <c r="L40" s="1" t="s">
        <v>15</v>
      </c>
      <c r="M40" s="1" t="s">
        <v>73</v>
      </c>
      <c r="N40" s="1" t="s">
        <v>73</v>
      </c>
      <c r="O40" s="1" t="s">
        <v>145</v>
      </c>
      <c r="P40" s="5" t="s">
        <v>423</v>
      </c>
      <c r="R40" t="str">
        <f t="shared" si="0"/>
        <v>7425</v>
      </c>
      <c r="S40" t="str">
        <f t="shared" si="1"/>
        <v>136</v>
      </c>
    </row>
    <row r="41" spans="1:19" x14ac:dyDescent="0.55000000000000004">
      <c r="A41" s="2">
        <v>69</v>
      </c>
      <c r="B41" s="1" t="s">
        <v>378</v>
      </c>
      <c r="C41" s="1" t="s">
        <v>152</v>
      </c>
      <c r="D41" s="1" t="s">
        <v>327</v>
      </c>
      <c r="E41" s="1" t="s">
        <v>75</v>
      </c>
      <c r="F41" s="1" t="s">
        <v>293</v>
      </c>
      <c r="G41" s="1" t="s">
        <v>131</v>
      </c>
      <c r="H41" s="1" t="s">
        <v>153</v>
      </c>
      <c r="I41" s="1" t="s">
        <v>533</v>
      </c>
      <c r="J41" s="1">
        <v>34.530833299999998</v>
      </c>
      <c r="K41" s="1">
        <v>135.83333329999999</v>
      </c>
      <c r="L41" s="1" t="s">
        <v>21</v>
      </c>
      <c r="M41" s="1" t="s">
        <v>73</v>
      </c>
      <c r="N41" s="1" t="s">
        <v>73</v>
      </c>
      <c r="O41" s="1" t="s">
        <v>128</v>
      </c>
      <c r="P41" s="5" t="s">
        <v>424</v>
      </c>
      <c r="R41" t="str">
        <f t="shared" si="0"/>
        <v>7425</v>
      </c>
      <c r="S41" t="str">
        <f t="shared" si="1"/>
        <v>118</v>
      </c>
    </row>
    <row r="42" spans="1:19" x14ac:dyDescent="0.55000000000000004">
      <c r="A42" s="2">
        <v>70</v>
      </c>
      <c r="B42" s="1" t="s">
        <v>378</v>
      </c>
      <c r="C42" s="1" t="s">
        <v>154</v>
      </c>
      <c r="D42" s="1" t="s">
        <v>328</v>
      </c>
      <c r="E42" s="1" t="s">
        <v>75</v>
      </c>
      <c r="F42" s="1" t="s">
        <v>293</v>
      </c>
      <c r="G42" s="1" t="s">
        <v>131</v>
      </c>
      <c r="H42" s="1" t="s">
        <v>155</v>
      </c>
      <c r="I42" s="1" t="s">
        <v>533</v>
      </c>
      <c r="J42" s="1">
        <v>34.517499999999998</v>
      </c>
      <c r="K42" s="1">
        <v>135.86944439999999</v>
      </c>
      <c r="L42" s="1" t="s">
        <v>19</v>
      </c>
      <c r="M42" s="1" t="s">
        <v>15</v>
      </c>
      <c r="N42" s="1" t="s">
        <v>15</v>
      </c>
      <c r="O42" s="1" t="s">
        <v>66</v>
      </c>
      <c r="P42" s="5" t="s">
        <v>425</v>
      </c>
      <c r="Q42" s="5" t="s">
        <v>492</v>
      </c>
      <c r="R42" t="str">
        <f t="shared" si="0"/>
        <v>7425</v>
      </c>
      <c r="S42" t="str">
        <f t="shared" si="1"/>
        <v>119</v>
      </c>
    </row>
    <row r="43" spans="1:19" x14ac:dyDescent="0.55000000000000004">
      <c r="A43" s="2">
        <v>74</v>
      </c>
      <c r="B43" s="1" t="s">
        <v>378</v>
      </c>
      <c r="C43" s="1" t="s">
        <v>156</v>
      </c>
      <c r="D43" s="1" t="s">
        <v>329</v>
      </c>
      <c r="E43" s="1" t="s">
        <v>146</v>
      </c>
      <c r="F43" s="1" t="s">
        <v>323</v>
      </c>
      <c r="G43" s="1" t="s">
        <v>131</v>
      </c>
      <c r="H43" s="1" t="s">
        <v>157</v>
      </c>
      <c r="I43" s="1" t="s">
        <v>533</v>
      </c>
      <c r="J43" s="1">
        <v>34.51</v>
      </c>
      <c r="K43" s="1">
        <v>135.84666669999999</v>
      </c>
      <c r="L43" s="1" t="s">
        <v>158</v>
      </c>
      <c r="M43" s="1" t="s">
        <v>32</v>
      </c>
      <c r="N43" s="1" t="s">
        <v>32</v>
      </c>
      <c r="O43" s="1" t="s">
        <v>37</v>
      </c>
      <c r="P43" s="5" t="s">
        <v>426</v>
      </c>
      <c r="Q43" s="6" t="s">
        <v>493</v>
      </c>
      <c r="R43" t="str">
        <f t="shared" si="0"/>
        <v>7425</v>
      </c>
      <c r="S43" t="str">
        <f t="shared" si="1"/>
        <v>151</v>
      </c>
    </row>
    <row r="44" spans="1:19" x14ac:dyDescent="0.55000000000000004">
      <c r="A44" s="2">
        <v>72</v>
      </c>
      <c r="B44" s="1" t="s">
        <v>378</v>
      </c>
      <c r="C44" s="1" t="s">
        <v>160</v>
      </c>
      <c r="D44" s="1" t="s">
        <v>330</v>
      </c>
      <c r="E44" s="1" t="s">
        <v>146</v>
      </c>
      <c r="F44" s="1" t="s">
        <v>323</v>
      </c>
      <c r="G44" s="1" t="s">
        <v>131</v>
      </c>
      <c r="H44" s="1" t="s">
        <v>161</v>
      </c>
      <c r="I44" s="1" t="s">
        <v>534</v>
      </c>
      <c r="J44" s="1">
        <v>34.5816667</v>
      </c>
      <c r="K44" s="1">
        <v>135.7813889</v>
      </c>
      <c r="L44" s="1" t="s">
        <v>73</v>
      </c>
      <c r="M44" s="1" t="s">
        <v>162</v>
      </c>
      <c r="N44" s="1" t="s">
        <v>162</v>
      </c>
      <c r="O44" s="1" t="s">
        <v>163</v>
      </c>
      <c r="P44" s="5" t="s">
        <v>427</v>
      </c>
      <c r="Q44" s="6" t="s">
        <v>494</v>
      </c>
      <c r="R44" t="str">
        <f t="shared" si="0"/>
        <v>7425</v>
      </c>
      <c r="S44" t="str">
        <f t="shared" si="1"/>
        <v>149</v>
      </c>
    </row>
    <row r="45" spans="1:19" x14ac:dyDescent="0.55000000000000004">
      <c r="A45" s="2">
        <v>171</v>
      </c>
      <c r="B45" s="1" t="s">
        <v>378</v>
      </c>
      <c r="C45" s="1" t="s">
        <v>164</v>
      </c>
      <c r="D45" s="1" t="s">
        <v>331</v>
      </c>
      <c r="E45" s="1" t="s">
        <v>110</v>
      </c>
      <c r="F45" s="1" t="s">
        <v>308</v>
      </c>
      <c r="G45" s="1" t="s">
        <v>70</v>
      </c>
      <c r="H45" s="1" t="s">
        <v>165</v>
      </c>
      <c r="I45" s="1" t="s">
        <v>534</v>
      </c>
      <c r="J45" s="3">
        <v>34.5840806</v>
      </c>
      <c r="K45" s="1">
        <v>135.7510833</v>
      </c>
      <c r="L45" s="1" t="s">
        <v>25</v>
      </c>
      <c r="M45" s="1" t="s">
        <v>78</v>
      </c>
      <c r="N45" s="1" t="s">
        <v>122</v>
      </c>
      <c r="O45" s="1" t="s">
        <v>166</v>
      </c>
      <c r="P45" s="5" t="s">
        <v>428</v>
      </c>
      <c r="Q45" s="6" t="s">
        <v>495</v>
      </c>
      <c r="R45" t="str">
        <f t="shared" si="0"/>
        <v>22069</v>
      </c>
      <c r="S45" t="str">
        <f t="shared" si="1"/>
        <v>3</v>
      </c>
    </row>
    <row r="46" spans="1:19" x14ac:dyDescent="0.55000000000000004">
      <c r="A46" s="2">
        <v>75</v>
      </c>
      <c r="B46" s="1" t="s">
        <v>378</v>
      </c>
      <c r="C46" s="1" t="s">
        <v>167</v>
      </c>
      <c r="D46" s="1" t="s">
        <v>332</v>
      </c>
      <c r="E46" s="1" t="s">
        <v>142</v>
      </c>
      <c r="F46" s="1" t="s">
        <v>321</v>
      </c>
      <c r="G46" s="1" t="s">
        <v>131</v>
      </c>
      <c r="H46" s="1" t="s">
        <v>168</v>
      </c>
      <c r="I46" s="1" t="s">
        <v>535</v>
      </c>
      <c r="J46" s="1">
        <v>34.566944399999997</v>
      </c>
      <c r="K46" s="1">
        <v>135.76972219999999</v>
      </c>
      <c r="L46" s="1" t="s">
        <v>53</v>
      </c>
      <c r="M46" s="1" t="s">
        <v>26</v>
      </c>
      <c r="N46" s="1" t="s">
        <v>26</v>
      </c>
      <c r="O46" s="1" t="s">
        <v>74</v>
      </c>
      <c r="P46" s="5" t="s">
        <v>429</v>
      </c>
      <c r="Q46" s="5" t="s">
        <v>496</v>
      </c>
      <c r="R46" t="str">
        <f t="shared" si="0"/>
        <v>7425</v>
      </c>
      <c r="S46" t="str">
        <f t="shared" si="1"/>
        <v>152</v>
      </c>
    </row>
    <row r="47" spans="1:19" x14ac:dyDescent="0.55000000000000004">
      <c r="A47" s="2">
        <v>76</v>
      </c>
      <c r="B47" s="1" t="s">
        <v>378</v>
      </c>
      <c r="C47" s="1" t="s">
        <v>169</v>
      </c>
      <c r="D47" s="1" t="s">
        <v>333</v>
      </c>
      <c r="E47" s="1" t="s">
        <v>110</v>
      </c>
      <c r="F47" s="1" t="s">
        <v>308</v>
      </c>
      <c r="G47" s="1" t="s">
        <v>131</v>
      </c>
      <c r="H47" s="1" t="s">
        <v>168</v>
      </c>
      <c r="I47" s="1" t="s">
        <v>535</v>
      </c>
      <c r="J47" s="1">
        <v>34.571388900000002</v>
      </c>
      <c r="K47" s="1">
        <v>135.7630556</v>
      </c>
      <c r="L47" s="1" t="s">
        <v>136</v>
      </c>
      <c r="M47" s="1" t="s">
        <v>162</v>
      </c>
      <c r="N47" s="1" t="s">
        <v>170</v>
      </c>
      <c r="O47" s="1" t="s">
        <v>123</v>
      </c>
      <c r="P47" s="5" t="s">
        <v>430</v>
      </c>
      <c r="Q47" s="6" t="s">
        <v>497</v>
      </c>
      <c r="R47" t="str">
        <f t="shared" si="0"/>
        <v>7425</v>
      </c>
      <c r="S47" t="str">
        <f t="shared" si="1"/>
        <v>153</v>
      </c>
    </row>
    <row r="48" spans="1:19" x14ac:dyDescent="0.55000000000000004">
      <c r="A48" s="2">
        <v>66</v>
      </c>
      <c r="B48" s="1" t="s">
        <v>378</v>
      </c>
      <c r="C48" s="1" t="s">
        <v>171</v>
      </c>
      <c r="D48" s="1" t="s">
        <v>334</v>
      </c>
      <c r="E48" s="1" t="s">
        <v>146</v>
      </c>
      <c r="F48" s="1" t="s">
        <v>323</v>
      </c>
      <c r="G48" s="1" t="s">
        <v>131</v>
      </c>
      <c r="H48" s="1" t="s">
        <v>172</v>
      </c>
      <c r="I48" s="1" t="s">
        <v>536</v>
      </c>
      <c r="J48" s="1">
        <v>34.545000000000002</v>
      </c>
      <c r="K48" s="1">
        <v>135.7955556</v>
      </c>
      <c r="L48" s="1" t="s">
        <v>33</v>
      </c>
      <c r="M48" s="1" t="s">
        <v>145</v>
      </c>
      <c r="N48" s="1" t="s">
        <v>145</v>
      </c>
      <c r="O48" s="1" t="s">
        <v>173</v>
      </c>
      <c r="P48" s="5" t="s">
        <v>431</v>
      </c>
      <c r="Q48" s="5" t="s">
        <v>498</v>
      </c>
      <c r="R48" t="str">
        <f t="shared" si="0"/>
        <v>7425</v>
      </c>
      <c r="S48" t="str">
        <f t="shared" si="1"/>
        <v>115</v>
      </c>
    </row>
    <row r="49" spans="1:19" x14ac:dyDescent="0.55000000000000004">
      <c r="A49" s="2">
        <v>63</v>
      </c>
      <c r="B49" s="1" t="s">
        <v>378</v>
      </c>
      <c r="C49" s="1" t="s">
        <v>174</v>
      </c>
      <c r="D49" s="1" t="s">
        <v>335</v>
      </c>
      <c r="E49" s="1" t="s">
        <v>110</v>
      </c>
      <c r="F49" s="1" t="s">
        <v>308</v>
      </c>
      <c r="G49" s="1" t="s">
        <v>131</v>
      </c>
      <c r="H49" s="1" t="s">
        <v>175</v>
      </c>
      <c r="I49" s="1" t="s">
        <v>537</v>
      </c>
      <c r="J49" s="1">
        <v>34.457500000000003</v>
      </c>
      <c r="K49" s="1">
        <v>135.76388890000001</v>
      </c>
      <c r="L49" s="1" t="s">
        <v>19</v>
      </c>
      <c r="M49" s="1" t="s">
        <v>37</v>
      </c>
      <c r="N49" s="1" t="s">
        <v>48</v>
      </c>
      <c r="O49" s="1" t="s">
        <v>25</v>
      </c>
      <c r="P49" s="5" t="s">
        <v>432</v>
      </c>
      <c r="R49" t="str">
        <f t="shared" si="0"/>
        <v>7425</v>
      </c>
      <c r="S49" t="str">
        <f t="shared" si="1"/>
        <v>112</v>
      </c>
    </row>
    <row r="50" spans="1:19" x14ac:dyDescent="0.55000000000000004">
      <c r="A50" s="2">
        <v>73</v>
      </c>
      <c r="B50" s="1" t="s">
        <v>378</v>
      </c>
      <c r="C50" s="1" t="s">
        <v>176</v>
      </c>
      <c r="D50" s="1" t="s">
        <v>336</v>
      </c>
      <c r="E50" s="1" t="s">
        <v>139</v>
      </c>
      <c r="F50" s="1" t="s">
        <v>319</v>
      </c>
      <c r="G50" s="1" t="s">
        <v>131</v>
      </c>
      <c r="H50" s="1" t="s">
        <v>177</v>
      </c>
      <c r="I50" s="1" t="s">
        <v>538</v>
      </c>
      <c r="J50" s="1">
        <v>34.463888900000001</v>
      </c>
      <c r="K50" s="1">
        <v>135.79861109999999</v>
      </c>
      <c r="L50" s="1" t="s">
        <v>52</v>
      </c>
      <c r="M50" s="1" t="s">
        <v>48</v>
      </c>
      <c r="N50" s="1" t="s">
        <v>48</v>
      </c>
      <c r="O50" s="1" t="s">
        <v>20</v>
      </c>
      <c r="P50" s="5" t="s">
        <v>499</v>
      </c>
      <c r="Q50" s="5" t="s">
        <v>500</v>
      </c>
      <c r="R50" t="str">
        <f t="shared" si="0"/>
        <v>7425</v>
      </c>
      <c r="S50" t="str">
        <f t="shared" si="1"/>
        <v>150</v>
      </c>
    </row>
    <row r="51" spans="1:19" x14ac:dyDescent="0.55000000000000004">
      <c r="A51" s="2">
        <v>77</v>
      </c>
      <c r="B51" s="1" t="s">
        <v>378</v>
      </c>
      <c r="C51" s="1" t="s">
        <v>178</v>
      </c>
      <c r="D51" s="1" t="s">
        <v>337</v>
      </c>
      <c r="E51" s="1" t="s">
        <v>142</v>
      </c>
      <c r="F51" s="1" t="s">
        <v>321</v>
      </c>
      <c r="G51" s="1" t="s">
        <v>131</v>
      </c>
      <c r="H51" s="1" t="s">
        <v>179</v>
      </c>
      <c r="I51" s="1" t="s">
        <v>538</v>
      </c>
      <c r="J51" s="1">
        <v>34.4808333</v>
      </c>
      <c r="K51" s="1">
        <v>135.8172222</v>
      </c>
      <c r="L51" s="1" t="s">
        <v>13</v>
      </c>
      <c r="M51" s="1" t="s">
        <v>37</v>
      </c>
      <c r="N51" s="1" t="s">
        <v>37</v>
      </c>
      <c r="O51" s="1" t="s">
        <v>67</v>
      </c>
      <c r="P51" s="5" t="s">
        <v>433</v>
      </c>
      <c r="Q51" s="6" t="s">
        <v>501</v>
      </c>
      <c r="R51" t="str">
        <f t="shared" si="0"/>
        <v>7425</v>
      </c>
      <c r="S51" t="str">
        <f t="shared" si="1"/>
        <v>154</v>
      </c>
    </row>
    <row r="52" spans="1:19" x14ac:dyDescent="0.55000000000000004">
      <c r="A52" s="2">
        <v>91</v>
      </c>
      <c r="B52" s="1" t="s">
        <v>379</v>
      </c>
      <c r="C52" s="1" t="s">
        <v>182</v>
      </c>
      <c r="D52" s="1" t="s">
        <v>339</v>
      </c>
      <c r="E52" s="1" t="s">
        <v>181</v>
      </c>
      <c r="F52" s="1" t="s">
        <v>338</v>
      </c>
      <c r="G52" s="1" t="s">
        <v>180</v>
      </c>
      <c r="H52" s="1" t="s">
        <v>183</v>
      </c>
      <c r="I52" s="1" t="s">
        <v>539</v>
      </c>
      <c r="J52" s="1">
        <v>34.527777800000003</v>
      </c>
      <c r="K52" s="1">
        <v>135.9566667</v>
      </c>
      <c r="L52" s="1" t="s">
        <v>66</v>
      </c>
      <c r="M52" s="1" t="s">
        <v>145</v>
      </c>
      <c r="N52" s="1" t="s">
        <v>27</v>
      </c>
      <c r="O52" s="1" t="s">
        <v>163</v>
      </c>
      <c r="P52" s="5" t="s">
        <v>434</v>
      </c>
      <c r="Q52" s="6" t="s">
        <v>502</v>
      </c>
      <c r="R52" t="str">
        <f t="shared" si="0"/>
        <v>7425</v>
      </c>
      <c r="S52" t="str">
        <f t="shared" si="1"/>
        <v>120</v>
      </c>
    </row>
    <row r="53" spans="1:19" x14ac:dyDescent="0.55000000000000004">
      <c r="A53" s="2">
        <v>92</v>
      </c>
      <c r="B53" s="1" t="s">
        <v>379</v>
      </c>
      <c r="C53" s="1" t="s">
        <v>184</v>
      </c>
      <c r="D53" s="1" t="s">
        <v>340</v>
      </c>
      <c r="E53" s="1" t="s">
        <v>181</v>
      </c>
      <c r="F53" s="1" t="s">
        <v>338</v>
      </c>
      <c r="G53" s="1" t="s">
        <v>180</v>
      </c>
      <c r="H53" s="1" t="s">
        <v>185</v>
      </c>
      <c r="I53" s="1" t="s">
        <v>539</v>
      </c>
      <c r="J53" s="1">
        <v>34.482777800000001</v>
      </c>
      <c r="K53" s="1">
        <v>135.93055559999999</v>
      </c>
      <c r="L53" s="1" t="s">
        <v>37</v>
      </c>
      <c r="M53" s="1" t="s">
        <v>66</v>
      </c>
      <c r="N53" s="1" t="s">
        <v>66</v>
      </c>
      <c r="O53" s="1" t="s">
        <v>67</v>
      </c>
      <c r="P53" s="5" t="s">
        <v>435</v>
      </c>
      <c r="Q53" s="6" t="s">
        <v>503</v>
      </c>
      <c r="R53" t="str">
        <f t="shared" si="0"/>
        <v>7425</v>
      </c>
      <c r="S53" t="str">
        <f t="shared" si="1"/>
        <v>121</v>
      </c>
    </row>
    <row r="54" spans="1:19" x14ac:dyDescent="0.55000000000000004">
      <c r="A54" s="2">
        <v>94</v>
      </c>
      <c r="B54" s="1" t="s">
        <v>379</v>
      </c>
      <c r="C54" s="1" t="s">
        <v>187</v>
      </c>
      <c r="D54" s="1" t="s">
        <v>342</v>
      </c>
      <c r="E54" s="1" t="s">
        <v>186</v>
      </c>
      <c r="F54" s="1" t="s">
        <v>341</v>
      </c>
      <c r="G54" s="1" t="s">
        <v>180</v>
      </c>
      <c r="H54" s="1" t="s">
        <v>188</v>
      </c>
      <c r="I54" s="1" t="s">
        <v>539</v>
      </c>
      <c r="J54" s="1">
        <v>34.478888900000001</v>
      </c>
      <c r="K54" s="1">
        <v>135.96416669999999</v>
      </c>
      <c r="L54" s="1" t="s">
        <v>86</v>
      </c>
      <c r="M54" s="1" t="s">
        <v>53</v>
      </c>
      <c r="N54" s="1" t="s">
        <v>53</v>
      </c>
      <c r="O54" s="1" t="s">
        <v>25</v>
      </c>
      <c r="P54" s="5" t="s">
        <v>436</v>
      </c>
      <c r="Q54" s="6" t="s">
        <v>504</v>
      </c>
      <c r="R54" t="str">
        <f t="shared" si="0"/>
        <v>7425</v>
      </c>
      <c r="S54" t="str">
        <f t="shared" si="1"/>
        <v>131</v>
      </c>
    </row>
    <row r="55" spans="1:19" x14ac:dyDescent="0.55000000000000004">
      <c r="A55" s="2">
        <v>151</v>
      </c>
      <c r="B55" s="1" t="s">
        <v>379</v>
      </c>
      <c r="C55" s="1" t="s">
        <v>191</v>
      </c>
      <c r="D55" s="1" t="s">
        <v>344</v>
      </c>
      <c r="E55" s="1" t="s">
        <v>190</v>
      </c>
      <c r="F55" s="1" t="s">
        <v>343</v>
      </c>
      <c r="G55" s="1" t="s">
        <v>189</v>
      </c>
      <c r="H55" s="1" t="s">
        <v>192</v>
      </c>
      <c r="I55" s="1" t="s">
        <v>539</v>
      </c>
      <c r="J55" s="1">
        <v>34.5283333</v>
      </c>
      <c r="K55" s="1">
        <v>135.97499999999999</v>
      </c>
      <c r="L55" s="1"/>
      <c r="M55" s="1"/>
      <c r="N55" s="1"/>
      <c r="O55" s="1"/>
      <c r="P55" s="4" t="s">
        <v>437</v>
      </c>
      <c r="R55" t="str">
        <f t="shared" si="0"/>
        <v>22067</v>
      </c>
      <c r="S55" t="str">
        <f t="shared" si="1"/>
        <v>1</v>
      </c>
    </row>
    <row r="56" spans="1:19" x14ac:dyDescent="0.55000000000000004">
      <c r="A56" s="2">
        <v>152</v>
      </c>
      <c r="B56" s="1" t="s">
        <v>379</v>
      </c>
      <c r="C56" s="1" t="s">
        <v>193</v>
      </c>
      <c r="D56" s="1" t="s">
        <v>345</v>
      </c>
      <c r="E56" s="1" t="s">
        <v>181</v>
      </c>
      <c r="F56" s="1" t="s">
        <v>338</v>
      </c>
      <c r="G56" s="1" t="s">
        <v>189</v>
      </c>
      <c r="H56" s="1" t="s">
        <v>194</v>
      </c>
      <c r="I56" s="1" t="s">
        <v>539</v>
      </c>
      <c r="J56" s="1">
        <v>34.561388899999997</v>
      </c>
      <c r="K56" s="1">
        <v>136.01527780000001</v>
      </c>
      <c r="L56" s="1"/>
      <c r="M56" s="1"/>
      <c r="N56" s="1"/>
      <c r="O56" s="1"/>
      <c r="P56" s="4" t="s">
        <v>438</v>
      </c>
      <c r="Q56" s="4" t="s">
        <v>505</v>
      </c>
      <c r="R56" t="str">
        <f t="shared" si="0"/>
        <v>22067</v>
      </c>
      <c r="S56" t="str">
        <f t="shared" si="1"/>
        <v>2</v>
      </c>
    </row>
    <row r="57" spans="1:19" x14ac:dyDescent="0.55000000000000004">
      <c r="A57" s="2">
        <v>155</v>
      </c>
      <c r="B57" s="1" t="s">
        <v>379</v>
      </c>
      <c r="C57" s="1" t="s">
        <v>195</v>
      </c>
      <c r="D57" s="1" t="s">
        <v>346</v>
      </c>
      <c r="E57" s="1" t="s">
        <v>181</v>
      </c>
      <c r="F57" s="1" t="s">
        <v>338</v>
      </c>
      <c r="G57" s="1" t="s">
        <v>189</v>
      </c>
      <c r="H57" s="1" t="s">
        <v>196</v>
      </c>
      <c r="I57" s="1" t="s">
        <v>539</v>
      </c>
      <c r="J57" s="1">
        <v>34.526944399999998</v>
      </c>
      <c r="K57" s="1">
        <v>135.95249999999999</v>
      </c>
      <c r="L57" s="1"/>
      <c r="M57" s="1"/>
      <c r="N57" s="1"/>
      <c r="O57" s="1"/>
      <c r="P57" s="4" t="s">
        <v>439</v>
      </c>
      <c r="R57" t="str">
        <f t="shared" si="0"/>
        <v>22067</v>
      </c>
      <c r="S57" t="str">
        <f t="shared" si="1"/>
        <v>9</v>
      </c>
    </row>
    <row r="58" spans="1:19" x14ac:dyDescent="0.55000000000000004">
      <c r="A58" s="2">
        <v>95</v>
      </c>
      <c r="B58" s="1" t="s">
        <v>379</v>
      </c>
      <c r="C58" s="1" t="s">
        <v>198</v>
      </c>
      <c r="D58" s="1" t="s">
        <v>348</v>
      </c>
      <c r="E58" s="1" t="s">
        <v>197</v>
      </c>
      <c r="F58" s="1" t="s">
        <v>347</v>
      </c>
      <c r="G58" s="1" t="s">
        <v>180</v>
      </c>
      <c r="H58" s="1" t="s">
        <v>199</v>
      </c>
      <c r="I58" s="1" t="s">
        <v>539</v>
      </c>
      <c r="J58" s="1">
        <v>34.510277799999997</v>
      </c>
      <c r="K58" s="1">
        <v>136.12555560000001</v>
      </c>
      <c r="L58" s="1"/>
      <c r="M58" s="1"/>
      <c r="N58" s="1"/>
      <c r="O58" s="1"/>
      <c r="P58" s="4" t="s">
        <v>440</v>
      </c>
      <c r="Q58" s="4" t="s">
        <v>506</v>
      </c>
      <c r="R58" t="str">
        <f t="shared" si="0"/>
        <v>7425</v>
      </c>
      <c r="S58" t="str">
        <f t="shared" si="1"/>
        <v>155</v>
      </c>
    </row>
    <row r="59" spans="1:19" x14ac:dyDescent="0.55000000000000004">
      <c r="A59" s="2">
        <v>153</v>
      </c>
      <c r="B59" s="1" t="s">
        <v>379</v>
      </c>
      <c r="C59" s="1" t="s">
        <v>201</v>
      </c>
      <c r="D59" s="1" t="s">
        <v>349</v>
      </c>
      <c r="E59" s="1" t="s">
        <v>197</v>
      </c>
      <c r="F59" s="1" t="s">
        <v>347</v>
      </c>
      <c r="G59" s="1" t="s">
        <v>200</v>
      </c>
      <c r="H59" s="1" t="s">
        <v>202</v>
      </c>
      <c r="I59" s="1" t="s">
        <v>540</v>
      </c>
      <c r="J59" s="1">
        <v>34.553159999999998</v>
      </c>
      <c r="K59" s="1">
        <v>136.13637199999999</v>
      </c>
      <c r="L59" s="1" t="s">
        <v>113</v>
      </c>
      <c r="M59" s="1" t="s">
        <v>79</v>
      </c>
      <c r="N59" s="1"/>
      <c r="O59" s="1"/>
      <c r="P59" s="4" t="s">
        <v>441</v>
      </c>
      <c r="Q59" s="4" t="s">
        <v>507</v>
      </c>
      <c r="R59" t="str">
        <f t="shared" si="0"/>
        <v>22067</v>
      </c>
      <c r="S59" t="str">
        <f t="shared" si="1"/>
        <v>4</v>
      </c>
    </row>
    <row r="60" spans="1:19" x14ac:dyDescent="0.55000000000000004">
      <c r="A60" s="2">
        <v>93</v>
      </c>
      <c r="B60" s="1" t="s">
        <v>380</v>
      </c>
      <c r="C60" s="1" t="s">
        <v>204</v>
      </c>
      <c r="D60" s="1" t="s">
        <v>351</v>
      </c>
      <c r="E60" s="1" t="s">
        <v>203</v>
      </c>
      <c r="F60" s="1" t="s">
        <v>350</v>
      </c>
      <c r="G60" s="1" t="s">
        <v>180</v>
      </c>
      <c r="H60" s="1" t="s">
        <v>205</v>
      </c>
      <c r="I60" s="1" t="s">
        <v>541</v>
      </c>
      <c r="J60" s="1">
        <v>34.403611099999999</v>
      </c>
      <c r="K60" s="1">
        <v>135.96805560000001</v>
      </c>
      <c r="L60" s="1" t="s">
        <v>21</v>
      </c>
      <c r="M60" s="1" t="s">
        <v>173</v>
      </c>
      <c r="N60" s="1" t="s">
        <v>173</v>
      </c>
      <c r="O60" s="1" t="s">
        <v>163</v>
      </c>
      <c r="P60" s="5" t="s">
        <v>442</v>
      </c>
      <c r="Q60" s="6" t="s">
        <v>508</v>
      </c>
      <c r="R60" t="str">
        <f t="shared" si="0"/>
        <v>7425</v>
      </c>
      <c r="S60" t="str">
        <f t="shared" si="1"/>
        <v>122</v>
      </c>
    </row>
    <row r="61" spans="1:19" x14ac:dyDescent="0.55000000000000004">
      <c r="A61" s="2">
        <v>193</v>
      </c>
      <c r="B61" s="1" t="s">
        <v>380</v>
      </c>
      <c r="C61" s="1" t="s">
        <v>207</v>
      </c>
      <c r="D61" s="1" t="s">
        <v>352</v>
      </c>
      <c r="E61" s="1" t="s">
        <v>203</v>
      </c>
      <c r="F61" s="1" t="s">
        <v>350</v>
      </c>
      <c r="G61" s="1" t="s">
        <v>206</v>
      </c>
      <c r="H61" s="1" t="s">
        <v>208</v>
      </c>
      <c r="I61" s="1" t="s">
        <v>541</v>
      </c>
      <c r="J61" s="1">
        <v>34.399722199999999</v>
      </c>
      <c r="K61" s="1">
        <v>135.9652778</v>
      </c>
      <c r="L61" s="1"/>
      <c r="M61" s="1"/>
      <c r="N61" s="1"/>
      <c r="O61" s="1"/>
      <c r="P61" s="4" t="s">
        <v>445</v>
      </c>
      <c r="R61" t="str">
        <f t="shared" si="0"/>
        <v>22077</v>
      </c>
      <c r="S61" t="str">
        <f t="shared" si="1"/>
        <v>11</v>
      </c>
    </row>
    <row r="62" spans="1:19" x14ac:dyDescent="0.55000000000000004">
      <c r="A62" s="2">
        <v>111</v>
      </c>
      <c r="B62" s="1" t="s">
        <v>380</v>
      </c>
      <c r="C62" s="1" t="s">
        <v>211</v>
      </c>
      <c r="D62" s="1" t="s">
        <v>354</v>
      </c>
      <c r="E62" s="1" t="s">
        <v>210</v>
      </c>
      <c r="F62" s="1" t="s">
        <v>353</v>
      </c>
      <c r="G62" s="1" t="s">
        <v>209</v>
      </c>
      <c r="H62" s="1" t="s">
        <v>212</v>
      </c>
      <c r="I62" s="1" t="s">
        <v>542</v>
      </c>
      <c r="J62" s="1">
        <v>34.393333300000002</v>
      </c>
      <c r="K62" s="1">
        <v>135.8511111</v>
      </c>
      <c r="L62" s="1" t="s">
        <v>79</v>
      </c>
      <c r="M62" s="1" t="s">
        <v>213</v>
      </c>
      <c r="N62" s="1" t="s">
        <v>213</v>
      </c>
      <c r="O62" s="1" t="s">
        <v>214</v>
      </c>
      <c r="P62" s="5" t="s">
        <v>443</v>
      </c>
      <c r="Q62" s="5" t="s">
        <v>509</v>
      </c>
      <c r="R62" t="str">
        <f t="shared" si="0"/>
        <v>7425</v>
      </c>
      <c r="S62" t="str">
        <f t="shared" si="1"/>
        <v>123</v>
      </c>
    </row>
    <row r="63" spans="1:19" x14ac:dyDescent="0.55000000000000004">
      <c r="A63" s="2">
        <v>114</v>
      </c>
      <c r="B63" s="1" t="s">
        <v>380</v>
      </c>
      <c r="C63" s="1" t="s">
        <v>215</v>
      </c>
      <c r="D63" s="1" t="s">
        <v>355</v>
      </c>
      <c r="E63" s="1" t="s">
        <v>210</v>
      </c>
      <c r="F63" s="1" t="s">
        <v>353</v>
      </c>
      <c r="G63" s="1" t="s">
        <v>209</v>
      </c>
      <c r="H63" s="1" t="s">
        <v>216</v>
      </c>
      <c r="I63" s="1" t="s">
        <v>542</v>
      </c>
      <c r="J63" s="1">
        <v>34.385555600000004</v>
      </c>
      <c r="K63" s="1">
        <v>135.90111110000001</v>
      </c>
      <c r="L63" s="1" t="s">
        <v>145</v>
      </c>
      <c r="M63" s="1" t="s">
        <v>217</v>
      </c>
      <c r="N63" s="1" t="s">
        <v>218</v>
      </c>
      <c r="O63" s="1" t="s">
        <v>219</v>
      </c>
      <c r="P63" s="5" t="s">
        <v>444</v>
      </c>
      <c r="R63" t="str">
        <f t="shared" si="0"/>
        <v>7425</v>
      </c>
      <c r="S63" t="str">
        <f t="shared" si="1"/>
        <v>156</v>
      </c>
    </row>
    <row r="64" spans="1:19" x14ac:dyDescent="0.55000000000000004">
      <c r="A64" s="2">
        <v>187</v>
      </c>
      <c r="B64" s="1" t="s">
        <v>380</v>
      </c>
      <c r="C64" s="1" t="s">
        <v>220</v>
      </c>
      <c r="D64" s="1" t="s">
        <v>356</v>
      </c>
      <c r="E64" s="1" t="s">
        <v>210</v>
      </c>
      <c r="F64" s="1" t="s">
        <v>353</v>
      </c>
      <c r="G64" s="1" t="s">
        <v>206</v>
      </c>
      <c r="H64" s="1" t="s">
        <v>221</v>
      </c>
      <c r="I64" s="1" t="s">
        <v>542</v>
      </c>
      <c r="J64" s="1">
        <v>34.393055599999997</v>
      </c>
      <c r="K64" s="1">
        <v>135.86972220000001</v>
      </c>
      <c r="L64" s="1"/>
      <c r="M64" s="1"/>
      <c r="N64" s="1"/>
      <c r="O64" s="1"/>
      <c r="P64" s="4" t="s">
        <v>446</v>
      </c>
      <c r="Q64" s="4"/>
      <c r="R64" t="str">
        <f t="shared" si="0"/>
        <v>22077</v>
      </c>
      <c r="S64" t="str">
        <f t="shared" si="1"/>
        <v>4</v>
      </c>
    </row>
    <row r="65" spans="1:19" x14ac:dyDescent="0.55000000000000004">
      <c r="A65" s="2">
        <v>115</v>
      </c>
      <c r="B65" s="1" t="s">
        <v>380</v>
      </c>
      <c r="C65" s="1" t="s">
        <v>222</v>
      </c>
      <c r="D65" s="1" t="s">
        <v>357</v>
      </c>
      <c r="E65" s="1" t="s">
        <v>210</v>
      </c>
      <c r="F65" s="1" t="s">
        <v>353</v>
      </c>
      <c r="G65" s="1" t="s">
        <v>209</v>
      </c>
      <c r="H65" s="1" t="s">
        <v>223</v>
      </c>
      <c r="I65" s="1" t="s">
        <v>543</v>
      </c>
      <c r="J65" s="1">
        <v>34.383333299999997</v>
      </c>
      <c r="K65" s="1">
        <v>135.77916669999999</v>
      </c>
      <c r="L65" s="1" t="s">
        <v>224</v>
      </c>
      <c r="M65" s="1" t="s">
        <v>225</v>
      </c>
      <c r="N65" s="1" t="s">
        <v>226</v>
      </c>
      <c r="O65" s="1" t="s">
        <v>227</v>
      </c>
      <c r="P65" s="4" t="s">
        <v>447</v>
      </c>
      <c r="Q65" s="5" t="s">
        <v>510</v>
      </c>
      <c r="R65" t="str">
        <f t="shared" ref="R65:R76" si="2">_xlfn.TEXTBEFORE(_xlfn.TEXTAFTER(P65,"ofcCd="),"&amp;")</f>
        <v>7425</v>
      </c>
      <c r="S65" t="str">
        <f t="shared" ref="S65:S76" si="3">_xlfn.TEXTAFTER(P65,"obsCd=")</f>
        <v>157</v>
      </c>
    </row>
    <row r="66" spans="1:19" x14ac:dyDescent="0.55000000000000004">
      <c r="A66" s="2">
        <v>116</v>
      </c>
      <c r="B66" s="1" t="s">
        <v>380</v>
      </c>
      <c r="C66" s="1" t="s">
        <v>229</v>
      </c>
      <c r="D66" s="1" t="s">
        <v>359</v>
      </c>
      <c r="E66" s="1" t="s">
        <v>228</v>
      </c>
      <c r="F66" s="1" t="s">
        <v>358</v>
      </c>
      <c r="G66" s="1" t="s">
        <v>209</v>
      </c>
      <c r="H66" s="1" t="s">
        <v>230</v>
      </c>
      <c r="I66" s="1" t="s">
        <v>544</v>
      </c>
      <c r="J66" s="1">
        <v>34.369166700000001</v>
      </c>
      <c r="K66" s="1">
        <v>135.78944440000001</v>
      </c>
      <c r="L66" s="1"/>
      <c r="M66" s="1"/>
      <c r="N66" s="1"/>
      <c r="O66" s="1"/>
      <c r="P66" s="4" t="s">
        <v>448</v>
      </c>
      <c r="R66" t="str">
        <f t="shared" si="2"/>
        <v>7425</v>
      </c>
      <c r="S66" t="str">
        <f t="shared" si="3"/>
        <v>158</v>
      </c>
    </row>
    <row r="67" spans="1:19" x14ac:dyDescent="0.55000000000000004">
      <c r="A67" s="2">
        <v>113</v>
      </c>
      <c r="B67" s="1" t="s">
        <v>449</v>
      </c>
      <c r="C67" s="1" t="s">
        <v>232</v>
      </c>
      <c r="D67" s="1" t="s">
        <v>361</v>
      </c>
      <c r="E67" s="1" t="s">
        <v>231</v>
      </c>
      <c r="F67" s="1" t="s">
        <v>360</v>
      </c>
      <c r="G67" s="1" t="s">
        <v>209</v>
      </c>
      <c r="H67" s="1" t="s">
        <v>233</v>
      </c>
      <c r="I67" s="1" t="s">
        <v>545</v>
      </c>
      <c r="J67" s="1">
        <v>34.1952778</v>
      </c>
      <c r="K67" s="1">
        <v>135.80444439999999</v>
      </c>
      <c r="L67" s="1"/>
      <c r="M67" s="1"/>
      <c r="N67" s="1"/>
      <c r="O67" s="1"/>
      <c r="P67" s="4" t="s">
        <v>451</v>
      </c>
      <c r="R67" t="str">
        <f t="shared" si="2"/>
        <v>7425</v>
      </c>
      <c r="S67" t="str">
        <f t="shared" si="3"/>
        <v>139</v>
      </c>
    </row>
    <row r="68" spans="1:19" x14ac:dyDescent="0.55000000000000004">
      <c r="A68" s="2">
        <v>112</v>
      </c>
      <c r="B68" s="1" t="s">
        <v>380</v>
      </c>
      <c r="C68" s="1" t="s">
        <v>234</v>
      </c>
      <c r="D68" s="1" t="s">
        <v>362</v>
      </c>
      <c r="E68" s="1" t="s">
        <v>210</v>
      </c>
      <c r="F68" s="1" t="s">
        <v>353</v>
      </c>
      <c r="G68" s="1" t="s">
        <v>209</v>
      </c>
      <c r="H68" s="1" t="s">
        <v>235</v>
      </c>
      <c r="I68" s="1" t="s">
        <v>546</v>
      </c>
      <c r="J68" s="1">
        <v>34.366111099999998</v>
      </c>
      <c r="K68" s="1">
        <v>135.93916669999999</v>
      </c>
      <c r="L68" s="1" t="s">
        <v>236</v>
      </c>
      <c r="M68" s="1" t="s">
        <v>225</v>
      </c>
      <c r="N68" s="1" t="s">
        <v>237</v>
      </c>
      <c r="O68" s="1" t="s">
        <v>238</v>
      </c>
      <c r="P68" s="5" t="s">
        <v>452</v>
      </c>
      <c r="R68" t="str">
        <f t="shared" si="2"/>
        <v>7425</v>
      </c>
      <c r="S68" t="str">
        <f t="shared" si="3"/>
        <v>124</v>
      </c>
    </row>
    <row r="69" spans="1:19" x14ac:dyDescent="0.55000000000000004">
      <c r="A69" s="2">
        <v>131</v>
      </c>
      <c r="B69" s="1" t="s">
        <v>380</v>
      </c>
      <c r="C69" s="1" t="s">
        <v>242</v>
      </c>
      <c r="D69" s="1" t="s">
        <v>363</v>
      </c>
      <c r="E69" s="1" t="s">
        <v>210</v>
      </c>
      <c r="F69" s="1" t="s">
        <v>353</v>
      </c>
      <c r="G69" s="1" t="s">
        <v>241</v>
      </c>
      <c r="H69" s="1" t="s">
        <v>243</v>
      </c>
      <c r="I69" s="1" t="s">
        <v>547</v>
      </c>
      <c r="J69" s="1">
        <v>34.355555600000002</v>
      </c>
      <c r="K69" s="1">
        <v>135.71916669999999</v>
      </c>
      <c r="L69" s="1" t="s">
        <v>136</v>
      </c>
      <c r="M69" s="1" t="s">
        <v>218</v>
      </c>
      <c r="N69" s="1" t="s">
        <v>244</v>
      </c>
      <c r="O69" s="1" t="s">
        <v>245</v>
      </c>
      <c r="P69" s="5" t="s">
        <v>453</v>
      </c>
      <c r="R69" t="str">
        <f t="shared" si="2"/>
        <v>7425</v>
      </c>
      <c r="S69" t="str">
        <f t="shared" si="3"/>
        <v>125</v>
      </c>
    </row>
    <row r="70" spans="1:19" x14ac:dyDescent="0.55000000000000004">
      <c r="A70" s="2">
        <v>136</v>
      </c>
      <c r="B70" s="1" t="s">
        <v>380</v>
      </c>
      <c r="C70" s="1" t="s">
        <v>247</v>
      </c>
      <c r="D70" s="1" t="s">
        <v>365</v>
      </c>
      <c r="E70" s="1" t="s">
        <v>246</v>
      </c>
      <c r="F70" s="1" t="s">
        <v>364</v>
      </c>
      <c r="G70" s="1" t="s">
        <v>241</v>
      </c>
      <c r="H70" s="1" t="s">
        <v>248</v>
      </c>
      <c r="I70" s="1" t="s">
        <v>547</v>
      </c>
      <c r="J70" s="1">
        <v>34.2822222</v>
      </c>
      <c r="K70" s="1">
        <v>135.7475</v>
      </c>
      <c r="L70" s="1" t="s">
        <v>113</v>
      </c>
      <c r="M70" s="1" t="s">
        <v>92</v>
      </c>
      <c r="N70" s="1" t="s">
        <v>236</v>
      </c>
      <c r="O70" s="1" t="s">
        <v>249</v>
      </c>
      <c r="P70" s="5" t="s">
        <v>454</v>
      </c>
      <c r="Q70" s="5" t="s">
        <v>511</v>
      </c>
      <c r="R70" t="str">
        <f t="shared" si="2"/>
        <v>7425</v>
      </c>
      <c r="S70" t="str">
        <f t="shared" si="3"/>
        <v>159</v>
      </c>
    </row>
    <row r="71" spans="1:19" x14ac:dyDescent="0.55000000000000004">
      <c r="A71" s="2">
        <v>190</v>
      </c>
      <c r="B71" s="1" t="s">
        <v>449</v>
      </c>
      <c r="C71" s="1" t="s">
        <v>250</v>
      </c>
      <c r="D71" s="1" t="s">
        <v>366</v>
      </c>
      <c r="E71" s="1" t="s">
        <v>231</v>
      </c>
      <c r="F71" s="1" t="s">
        <v>360</v>
      </c>
      <c r="G71" s="1" t="s">
        <v>206</v>
      </c>
      <c r="H71" s="1" t="s">
        <v>251</v>
      </c>
      <c r="I71" s="1" t="s">
        <v>548</v>
      </c>
      <c r="J71" s="1">
        <v>34.167222199999998</v>
      </c>
      <c r="K71" s="1">
        <v>135.75666670000001</v>
      </c>
      <c r="L71" s="1"/>
      <c r="M71" s="1"/>
      <c r="N71" s="1"/>
      <c r="O71" s="1"/>
      <c r="P71" s="4" t="s">
        <v>450</v>
      </c>
      <c r="Q71" s="4"/>
      <c r="R71" t="str">
        <f t="shared" si="2"/>
        <v>22077</v>
      </c>
      <c r="S71" t="str">
        <f t="shared" si="3"/>
        <v>7</v>
      </c>
    </row>
    <row r="72" spans="1:19" x14ac:dyDescent="0.55000000000000004">
      <c r="A72" s="2">
        <v>204</v>
      </c>
      <c r="B72" s="1" t="s">
        <v>380</v>
      </c>
      <c r="C72" s="1" t="s">
        <v>253</v>
      </c>
      <c r="D72" s="1" t="s">
        <v>367</v>
      </c>
      <c r="E72" s="1" t="s">
        <v>210</v>
      </c>
      <c r="F72" s="1" t="s">
        <v>353</v>
      </c>
      <c r="G72" s="1" t="s">
        <v>252</v>
      </c>
      <c r="H72" s="1" t="s">
        <v>254</v>
      </c>
      <c r="I72" s="1" t="s">
        <v>547</v>
      </c>
      <c r="J72" s="1">
        <v>34.346944399999998</v>
      </c>
      <c r="K72" s="1">
        <v>135.69194440000001</v>
      </c>
      <c r="L72" s="1" t="s">
        <v>255</v>
      </c>
      <c r="M72" s="1" t="s">
        <v>256</v>
      </c>
      <c r="N72" s="1" t="s">
        <v>257</v>
      </c>
      <c r="O72" s="1" t="s">
        <v>244</v>
      </c>
      <c r="P72" s="5" t="s">
        <v>455</v>
      </c>
      <c r="Q72" s="6" t="s">
        <v>512</v>
      </c>
      <c r="R72" t="str">
        <f t="shared" si="2"/>
        <v>22087</v>
      </c>
      <c r="S72" t="str">
        <f t="shared" si="3"/>
        <v>13</v>
      </c>
    </row>
    <row r="73" spans="1:19" x14ac:dyDescent="0.55000000000000004">
      <c r="A73" s="2">
        <v>132</v>
      </c>
      <c r="B73" s="1" t="s">
        <v>380</v>
      </c>
      <c r="C73" s="1" t="s">
        <v>258</v>
      </c>
      <c r="D73" s="1" t="s">
        <v>368</v>
      </c>
      <c r="E73" s="1" t="s">
        <v>246</v>
      </c>
      <c r="F73" s="1" t="s">
        <v>364</v>
      </c>
      <c r="G73" s="1" t="s">
        <v>241</v>
      </c>
      <c r="H73" s="1" t="s">
        <v>259</v>
      </c>
      <c r="I73" s="1" t="s">
        <v>544</v>
      </c>
      <c r="J73" s="1">
        <v>34.294722200000002</v>
      </c>
      <c r="K73" s="1">
        <v>135.78555560000001</v>
      </c>
      <c r="L73" s="1" t="s">
        <v>15</v>
      </c>
      <c r="M73" s="1" t="s">
        <v>74</v>
      </c>
      <c r="N73" s="1" t="s">
        <v>74</v>
      </c>
      <c r="O73" s="1" t="s">
        <v>173</v>
      </c>
      <c r="P73" s="5" t="s">
        <v>456</v>
      </c>
      <c r="R73" t="str">
        <f t="shared" si="2"/>
        <v>7425</v>
      </c>
      <c r="S73" t="str">
        <f t="shared" si="3"/>
        <v>126</v>
      </c>
    </row>
    <row r="74" spans="1:19" x14ac:dyDescent="0.55000000000000004">
      <c r="A74" s="2">
        <v>133</v>
      </c>
      <c r="B74" s="1" t="s">
        <v>449</v>
      </c>
      <c r="C74" s="1" t="s">
        <v>260</v>
      </c>
      <c r="D74" s="1" t="s">
        <v>369</v>
      </c>
      <c r="E74" s="1" t="s">
        <v>231</v>
      </c>
      <c r="F74" s="1" t="s">
        <v>360</v>
      </c>
      <c r="G74" s="1" t="s">
        <v>241</v>
      </c>
      <c r="H74" s="1" t="s">
        <v>261</v>
      </c>
      <c r="I74" s="1" t="s">
        <v>550</v>
      </c>
      <c r="J74" s="1">
        <v>34.012777800000002</v>
      </c>
      <c r="K74" s="1">
        <v>135.7955556</v>
      </c>
      <c r="L74" s="1"/>
      <c r="M74" s="1"/>
      <c r="N74" s="1"/>
      <c r="O74" s="1"/>
      <c r="P74" s="4" t="s">
        <v>457</v>
      </c>
      <c r="R74" t="str">
        <f t="shared" si="2"/>
        <v>7425</v>
      </c>
      <c r="S74" t="str">
        <f t="shared" si="3"/>
        <v>140</v>
      </c>
    </row>
    <row r="75" spans="1:19" x14ac:dyDescent="0.55000000000000004">
      <c r="A75" s="2">
        <v>134</v>
      </c>
      <c r="B75" s="1" t="s">
        <v>449</v>
      </c>
      <c r="C75" s="1" t="s">
        <v>262</v>
      </c>
      <c r="D75" s="1" t="s">
        <v>370</v>
      </c>
      <c r="E75" s="1" t="s">
        <v>231</v>
      </c>
      <c r="F75" s="1" t="s">
        <v>360</v>
      </c>
      <c r="G75" s="1" t="s">
        <v>241</v>
      </c>
      <c r="H75" s="1" t="s">
        <v>263</v>
      </c>
      <c r="I75" s="1" t="s">
        <v>549</v>
      </c>
      <c r="J75" s="1">
        <v>34.038333299999998</v>
      </c>
      <c r="K75" s="1">
        <v>135.7897222</v>
      </c>
      <c r="L75" s="1"/>
      <c r="M75" s="1"/>
      <c r="N75" s="1"/>
      <c r="O75" s="1"/>
      <c r="P75" s="4" t="s">
        <v>458</v>
      </c>
      <c r="R75" t="str">
        <f t="shared" si="2"/>
        <v>7425</v>
      </c>
      <c r="S75" t="str">
        <f t="shared" si="3"/>
        <v>141</v>
      </c>
    </row>
    <row r="76" spans="1:19" x14ac:dyDescent="0.55000000000000004">
      <c r="A76" s="2">
        <v>135</v>
      </c>
      <c r="B76" s="1" t="s">
        <v>449</v>
      </c>
      <c r="C76" s="1" t="s">
        <v>264</v>
      </c>
      <c r="D76" s="1" t="s">
        <v>371</v>
      </c>
      <c r="E76" s="1" t="s">
        <v>231</v>
      </c>
      <c r="F76" s="1" t="s">
        <v>360</v>
      </c>
      <c r="G76" s="1" t="s">
        <v>241</v>
      </c>
      <c r="H76" s="1" t="s">
        <v>265</v>
      </c>
      <c r="I76" s="1" t="s">
        <v>549</v>
      </c>
      <c r="J76" s="1">
        <v>34.1097222</v>
      </c>
      <c r="K76" s="1">
        <v>135.77444439999999</v>
      </c>
      <c r="L76" s="1"/>
      <c r="M76" s="1"/>
      <c r="N76" s="1"/>
      <c r="O76" s="1"/>
      <c r="P76" s="4" t="s">
        <v>459</v>
      </c>
      <c r="R76" t="str">
        <f t="shared" si="2"/>
        <v>7425</v>
      </c>
      <c r="S76" t="str">
        <f t="shared" si="3"/>
        <v>142</v>
      </c>
    </row>
  </sheetData>
  <phoneticPr fontId="1"/>
  <hyperlinks>
    <hyperlink ref="P15" r:id="rId1" xr:uid="{80AF0F52-FE9E-4459-A83E-04FBE851D5F9}"/>
    <hyperlink ref="P2" r:id="rId2" xr:uid="{5E959C54-3B96-4308-B0CF-766C1C618472}"/>
    <hyperlink ref="Q2" r:id="rId3" xr:uid="{DD420838-FEC6-42C5-AC03-45C106F8EC09}"/>
    <hyperlink ref="P3" r:id="rId4" xr:uid="{E3440A7A-9DF5-4BD2-ABB1-AFF25B04F4AC}"/>
    <hyperlink ref="Q3" r:id="rId5" xr:uid="{2C197A79-4E8D-4A85-A96C-97A0E1307524}"/>
    <hyperlink ref="P4" r:id="rId6" xr:uid="{A67ED444-F017-41F1-8FCD-030E9CB2CED6}"/>
    <hyperlink ref="Q4" r:id="rId7" xr:uid="{91F5747B-B161-47E0-A8CD-57C4EC6A89BA}"/>
    <hyperlink ref="P5" r:id="rId8" xr:uid="{FB845758-F2B7-4FCB-B9C4-9D277957A9C2}"/>
    <hyperlink ref="P6" r:id="rId9" xr:uid="{86DAB206-CE0A-452F-9861-95F49A78368A}"/>
    <hyperlink ref="Q6" r:id="rId10" xr:uid="{6F5FA695-FD59-410E-9551-BDB0967C9BDB}"/>
    <hyperlink ref="P7" r:id="rId11" xr:uid="{9E558C1F-9F50-4399-8E48-895D64753BB8}"/>
    <hyperlink ref="P8" r:id="rId12" xr:uid="{CD4C5C91-1C21-4A19-A20C-3BA4AFA96220}"/>
    <hyperlink ref="P9" r:id="rId13" xr:uid="{3106ED78-709C-4593-9CA3-060B12000B9F}"/>
    <hyperlink ref="Q9" r:id="rId14" xr:uid="{B8BB7C6A-F612-4DD7-9842-68272B9974AD}"/>
    <hyperlink ref="P10" r:id="rId15" xr:uid="{B859F619-414F-4EF9-8626-9F45BA0CEBB8}"/>
    <hyperlink ref="Q10" r:id="rId16" xr:uid="{55685B34-15DA-4989-94D6-8C134922781E}"/>
    <hyperlink ref="P11" r:id="rId17" xr:uid="{865402AF-1612-4FD1-89F5-9103C95E5141}"/>
    <hyperlink ref="Q11" r:id="rId18" xr:uid="{7174D598-EC3F-483C-BDB8-869E0B8AF361}"/>
    <hyperlink ref="P12" r:id="rId19" xr:uid="{8EB138DE-3548-4935-B8BA-A80F332C7547}"/>
    <hyperlink ref="P13" r:id="rId20" xr:uid="{030979C6-729A-4CA8-9863-F034B29531B8}"/>
    <hyperlink ref="P14" r:id="rId21" xr:uid="{E78B413F-4E33-4E43-BDE8-193FD47A4F40}"/>
    <hyperlink ref="P16" r:id="rId22" xr:uid="{6E14F61A-3A44-46F4-A1EA-8D425ED4615E}"/>
    <hyperlink ref="Q16" r:id="rId23" xr:uid="{6F3EDC96-F2AB-4C90-AAF5-A2A12B08768E}"/>
    <hyperlink ref="P17" r:id="rId24" xr:uid="{AE4725A0-887A-46C6-99E7-958FE5BDCB0C}"/>
    <hyperlink ref="Q17" r:id="rId25" xr:uid="{4D2F612B-1939-4980-8A2E-3270FE5C5409}"/>
    <hyperlink ref="P18" r:id="rId26" xr:uid="{AE2C6CBC-91AE-44C0-BEAF-5B0B25CEEC7C}"/>
    <hyperlink ref="Q18" r:id="rId27" xr:uid="{4AE79112-0011-41D4-ACF5-D4C1F8131FED}"/>
    <hyperlink ref="P19" r:id="rId28" xr:uid="{154A5634-4EBA-4291-9D79-20044072C061}"/>
    <hyperlink ref="P20" r:id="rId29" xr:uid="{B7265333-C422-41BB-8F01-A13EB946490A}"/>
    <hyperlink ref="Q20" r:id="rId30" xr:uid="{E9056260-8DF8-48B1-AE3F-6FC0DFCAC1BA}"/>
    <hyperlink ref="P21" r:id="rId31" xr:uid="{B5DAA74E-2CC7-4511-B54D-5C7787744C06}"/>
    <hyperlink ref="P22" r:id="rId32" xr:uid="{9826A3E7-34D5-4B6D-8312-BB8F1CF8D9B1}"/>
    <hyperlink ref="Q22" r:id="rId33" display="https://www.river.go.jp/kawabou/pc/tm?zm=12&amp;clat=34.60241096129153&amp;clon=135.76938629150393&amp;fld=0&amp;mapType=0&amp;viewGrpStg=0&amp;viewRd=1&amp;viewRW=1&amp;viewRl=1&amp;viewRn=1&amp;viewPoint=1&amp;ext=0&amp;itmkndCd=200&amp;scamId=107425042&amp;ownCd=7425&amp;sysCamId=7425042" xr:uid="{DA1DF261-6A32-429E-A114-E2B2F6548233}"/>
    <hyperlink ref="P23" r:id="rId34" xr:uid="{232C94BD-E4E6-4EF8-AE62-28BD905E1A6C}"/>
    <hyperlink ref="P24" r:id="rId35" xr:uid="{E3796CE5-9C4D-4BE3-A426-114230918EC8}"/>
    <hyperlink ref="Q24" r:id="rId36" xr:uid="{1E40C976-7E5A-4740-BE13-5B483E23AD72}"/>
    <hyperlink ref="P25" r:id="rId37" xr:uid="{BCA65EBC-E59E-49CA-864A-7EDC309DCBA0}"/>
    <hyperlink ref="P26" r:id="rId38" xr:uid="{03B784DC-ABEB-4E38-B1D4-09A032EFB5F1}"/>
    <hyperlink ref="P27" r:id="rId39" xr:uid="{761BC090-EC91-480E-A1DD-1AD3ADC583CF}"/>
    <hyperlink ref="P28" r:id="rId40" xr:uid="{1D1FD9CF-3BF7-4F53-886F-EF8F770963C3}"/>
    <hyperlink ref="Q28" r:id="rId41" xr:uid="{BC9B9A13-6428-4833-95E2-7DAD4AF55AD4}"/>
    <hyperlink ref="P29" r:id="rId42" xr:uid="{BCD1C373-B69E-4366-B759-FE73F6C96251}"/>
    <hyperlink ref="Q29" r:id="rId43" xr:uid="{C81E2CD2-DFA0-4F64-8373-112209FBDE4E}"/>
    <hyperlink ref="P30" r:id="rId44" xr:uid="{33441477-EA47-4147-8361-D36451B51ADF}"/>
    <hyperlink ref="P31" r:id="rId45" xr:uid="{60077CF3-A9E2-4AF4-9DC4-B8066C8AE43E}"/>
    <hyperlink ref="P32" r:id="rId46" xr:uid="{4B33F0E6-8FC6-4531-877B-110204908392}"/>
    <hyperlink ref="P33" r:id="rId47" xr:uid="{3AF0EBDD-6107-471E-BF9D-A8F62FD0E727}"/>
    <hyperlink ref="Q33" r:id="rId48" xr:uid="{70F24105-5F61-4BA5-9D08-6A7F0A0C8BB4}"/>
    <hyperlink ref="P34" r:id="rId49" xr:uid="{64CCD285-2A46-4D83-BB11-8B0ADE7C30BB}"/>
    <hyperlink ref="Q34" r:id="rId50" xr:uid="{A6C9C94A-AE6B-4354-8159-84525A85A490}"/>
    <hyperlink ref="P35" r:id="rId51" xr:uid="{7BFF2452-A754-4B8B-A2D9-8A9DF535A2E7}"/>
    <hyperlink ref="Q35" r:id="rId52" xr:uid="{E831222A-9F5C-482A-9142-E0FB5BDBBF7D}"/>
    <hyperlink ref="P36" r:id="rId53" xr:uid="{0EA32899-BE39-459F-A75F-19F2A2CACFBC}"/>
    <hyperlink ref="P37" r:id="rId54" xr:uid="{7AA35659-E8FF-4AFC-B878-ADF477A380B7}"/>
    <hyperlink ref="P38" r:id="rId55" xr:uid="{76AF3A8B-0A6B-4F0F-9147-F819C4161658}"/>
    <hyperlink ref="P39" r:id="rId56" xr:uid="{DDAE6DE0-0B74-48B2-8BB5-5D092752F32D}"/>
    <hyperlink ref="P40" r:id="rId57" xr:uid="{D7314B06-3C86-4473-8603-F94080C2AF3F}"/>
    <hyperlink ref="P41" r:id="rId58" xr:uid="{91A5565A-5A71-4A32-99AF-2704D12340EE}"/>
    <hyperlink ref="P42" r:id="rId59" xr:uid="{567BA0F0-BD1D-46CD-8516-2F0ACCD8D2B5}"/>
    <hyperlink ref="Q42" r:id="rId60" xr:uid="{DD6A56A7-61D7-4C94-9E2D-D093294E8576}"/>
    <hyperlink ref="P43" r:id="rId61" xr:uid="{F5EE3DE8-0194-4FF2-8B4B-E06078566D82}"/>
    <hyperlink ref="P44" r:id="rId62" xr:uid="{7A139CC9-CC03-43B4-A26B-22132F2D00DD}"/>
    <hyperlink ref="Q44" r:id="rId63" xr:uid="{219C3CF3-8803-4E1D-9F8C-54AD57B46C2E}"/>
    <hyperlink ref="P45" r:id="rId64" xr:uid="{A93AD36D-52BE-48CF-8D41-48B09B834FB2}"/>
    <hyperlink ref="Q45" r:id="rId65" xr:uid="{4F074575-4A63-4DA9-B682-95245C34D028}"/>
    <hyperlink ref="Q46" r:id="rId66" xr:uid="{DEF28B44-B0DE-40EB-BC49-D84DF0889A84}"/>
    <hyperlink ref="P46" r:id="rId67" xr:uid="{F46B48A4-C76F-4830-B8EC-AD38D7D38BD3}"/>
    <hyperlink ref="P47" r:id="rId68" xr:uid="{A5078E1A-0274-4D2F-8205-356E668543A8}"/>
    <hyperlink ref="P48" r:id="rId69" xr:uid="{299921A5-1E2D-4CC2-B084-3E4A1470A88D}"/>
    <hyperlink ref="Q48" r:id="rId70" xr:uid="{1494FC1D-5B07-4ED2-9E2E-B26EAC276805}"/>
    <hyperlink ref="P49" r:id="rId71" xr:uid="{D03F1817-E00E-4F69-AD8F-9C0EBBA8E8BC}"/>
    <hyperlink ref="P50" r:id="rId72" xr:uid="{3069C10A-9C10-4333-886D-7E2DDE826DEE}"/>
    <hyperlink ref="Q50" r:id="rId73" xr:uid="{AE733813-0DB9-4200-B20A-3376496AEB7F}"/>
    <hyperlink ref="P51" r:id="rId74" xr:uid="{F2443606-D331-4786-BAC7-6896BFCECFF0}"/>
    <hyperlink ref="Q51" r:id="rId75" xr:uid="{DC99C0E7-F0E5-4042-B048-3E31BD1DF48D}"/>
    <hyperlink ref="P52" r:id="rId76" xr:uid="{624C851A-6C89-4CC0-A219-B18F3A06C35A}"/>
    <hyperlink ref="Q52" r:id="rId77" xr:uid="{EFE49E4B-7BEC-4B89-A015-D646BA9B9951}"/>
    <hyperlink ref="P53" r:id="rId78" xr:uid="{91E4958D-9FED-453C-9238-7A0EBF24DDA0}"/>
    <hyperlink ref="Q53" r:id="rId79" xr:uid="{5DDD53DC-F31C-4321-BE2C-81076DE0B813}"/>
    <hyperlink ref="P54" r:id="rId80" xr:uid="{BD6CEAB1-F5BF-48EB-B476-B1CA03B6792C}"/>
    <hyperlink ref="Q54" r:id="rId81" xr:uid="{637C6B19-6DA4-42D4-A59A-962FAB655863}"/>
    <hyperlink ref="P55" r:id="rId82" xr:uid="{37F4E260-CCBC-4790-A8E6-366E907778D3}"/>
    <hyperlink ref="P56" r:id="rId83" xr:uid="{50728D18-80A2-41C9-9684-71EA672643A9}"/>
    <hyperlink ref="P57" r:id="rId84" xr:uid="{84506F98-72FF-479B-8A89-5F966E562F30}"/>
    <hyperlink ref="Q58" r:id="rId85" xr:uid="{A86E6E98-036A-4DF0-9ED2-826A0909C637}"/>
    <hyperlink ref="Q56" r:id="rId86" xr:uid="{591132DA-6FDD-46B8-9B34-50E4B30C2326}"/>
    <hyperlink ref="P58" r:id="rId87" xr:uid="{0362DE56-C757-49DA-A2CA-955756DD3CCA}"/>
    <hyperlink ref="Q59" r:id="rId88" xr:uid="{6BF187E7-C20D-4B10-AA4F-FA6075A39F95}"/>
    <hyperlink ref="P59" r:id="rId89" xr:uid="{11EE20EB-F8A8-4D0A-81AB-7B63150DF82B}"/>
    <hyperlink ref="P60" r:id="rId90" xr:uid="{01A3C01F-4051-4E83-9E5A-1E98B5CA9CC7}"/>
    <hyperlink ref="Q60" r:id="rId91" xr:uid="{24C3792C-A3AE-4FC5-9109-1C2FD4D09EB0}"/>
    <hyperlink ref="P62" r:id="rId92" xr:uid="{6B9D1916-F27D-4F02-8A42-18975E2E36EA}"/>
    <hyperlink ref="Q62" r:id="rId93" xr:uid="{071CEDC8-7D72-4C11-9945-DED6C41A8B1E}"/>
    <hyperlink ref="P63" r:id="rId94" xr:uid="{0B03128E-2C50-4B1D-B2DE-77E1B45714F3}"/>
    <hyperlink ref="P61" r:id="rId95" xr:uid="{E5EE7183-E9F5-457B-A884-E40763AC314A}"/>
    <hyperlink ref="P64" r:id="rId96" xr:uid="{8C44961E-4772-465F-A837-8EA48FA3CEA6}"/>
    <hyperlink ref="P65" r:id="rId97" xr:uid="{E937E12F-2628-45E0-8260-0E703214499D}"/>
    <hyperlink ref="Q65" r:id="rId98" xr:uid="{5E41DCA2-3AED-46D9-BC02-3E082D847A97}"/>
    <hyperlink ref="P66" r:id="rId99" xr:uid="{67003E07-4EED-4ADA-8325-2F767337709A}"/>
    <hyperlink ref="P71" r:id="rId100" xr:uid="{8826EBFB-91BB-443B-896A-E284D64A6E0A}"/>
    <hyperlink ref="P67" r:id="rId101" xr:uid="{C54722E9-BD3E-4C18-953D-D1515B485902}"/>
    <hyperlink ref="P68" r:id="rId102" xr:uid="{B907FE13-5849-4C10-AE8D-B2FE098659CE}"/>
    <hyperlink ref="P69" r:id="rId103" xr:uid="{9B4FE783-ECE6-4692-AAD8-93605DF44DF4}"/>
    <hyperlink ref="P70" r:id="rId104" xr:uid="{948B94EE-FB54-44C6-B50E-2DA23BB32796}"/>
    <hyperlink ref="P72" r:id="rId105" xr:uid="{A411935B-1994-4049-8FF0-28FB42096408}"/>
    <hyperlink ref="Q72" r:id="rId106" xr:uid="{2A76E0A4-EC10-4967-84E2-00BED5D358B3}"/>
    <hyperlink ref="P73" r:id="rId107" xr:uid="{8EA3C855-2234-4C55-B597-13F9400E0BD0}"/>
    <hyperlink ref="P74" r:id="rId108" xr:uid="{C4D2A0FA-2525-4F04-AEA8-7AB6E72B8789}"/>
    <hyperlink ref="P75" r:id="rId109" xr:uid="{0D5A9C33-8FE8-403D-84EB-16AA4CB4AE04}"/>
    <hyperlink ref="P76" r:id="rId110" xr:uid="{E01CEFD8-9FEC-4146-8A24-40D28CEFF048}"/>
    <hyperlink ref="Q15" r:id="rId111" xr:uid="{5B72FD30-5AC0-4947-B9E9-5D1E55ECFC1C}"/>
    <hyperlink ref="Q25" r:id="rId112" xr:uid="{1F40BFD5-1664-4B8E-9AD0-04899D1DF1D1}"/>
    <hyperlink ref="Q23" r:id="rId113" xr:uid="{EA4009B5-D4FF-46BE-962D-5307A513DFE2}"/>
    <hyperlink ref="Q30" r:id="rId114" xr:uid="{4C90473C-163E-4562-BED7-C580B121271C}"/>
    <hyperlink ref="Q32" r:id="rId115" xr:uid="{476D1F67-6A1A-41C9-A843-3B3FC63DE9A7}"/>
    <hyperlink ref="Q38" r:id="rId116" xr:uid="{8F7D7FA1-3D5E-4BF5-92E2-A491876D2137}"/>
    <hyperlink ref="Q43" r:id="rId117" xr:uid="{F9E60127-FA03-468B-A56D-60844C91CFF6}"/>
    <hyperlink ref="Q47" r:id="rId118" xr:uid="{F0FB7F74-3E66-47AE-B1A1-1401657ACFCA}"/>
    <hyperlink ref="Q70" r:id="rId119" xr:uid="{E5C917D2-559D-41F8-A179-79AEF2730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水位観測所</vt:lpstr>
      <vt:lpstr>suii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 夢香(YAMAGUCHI Haruka)</dc:creator>
  <cp:lastModifiedBy>山口 夢香(YAMAGUCHI Haruka)</cp:lastModifiedBy>
  <dcterms:created xsi:type="dcterms:W3CDTF">2026-07-13T00:59:10Z</dcterms:created>
  <dcterms:modified xsi:type="dcterms:W3CDTF">2026-07-31T06:54:02Z</dcterms:modified>
</cp:coreProperties>
</file>